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-excel-load/"/>
    </mc:Choice>
  </mc:AlternateContent>
  <xr:revisionPtr revIDLastSave="36" documentId="11_FDEE2A5E1D7C93A4779E508B1AD43F9317220139" xr6:coauthVersionLast="47" xr6:coauthVersionMax="47" xr10:uidLastSave="{A2800FE4-D9D2-4BC7-ACFD-DA8ADFCB3AEB}"/>
  <bookViews>
    <workbookView xWindow="-108" yWindow="-108" windowWidth="23256" windowHeight="12456" tabRatio="500" xr2:uid="{00000000-000D-0000-FFFF-FFFF00000000}"/>
  </bookViews>
  <sheets>
    <sheet name="Load" sheetId="9" r:id="rId1"/>
  </sheets>
  <externalReferences>
    <externalReference r:id="rId2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9" l="1"/>
  <c r="R11" i="9"/>
  <c r="Q11" i="9"/>
  <c r="P11" i="9"/>
  <c r="O11" i="9"/>
  <c r="N11" i="9"/>
  <c r="S10" i="9"/>
  <c r="R10" i="9"/>
  <c r="Q10" i="9"/>
  <c r="P10" i="9"/>
  <c r="O10" i="9"/>
  <c r="N10" i="9"/>
  <c r="S9" i="9"/>
  <c r="R9" i="9"/>
  <c r="Q9" i="9"/>
  <c r="P9" i="9"/>
  <c r="O9" i="9"/>
  <c r="N9" i="9"/>
  <c r="S8" i="9"/>
  <c r="R8" i="9"/>
  <c r="Q8" i="9"/>
  <c r="P8" i="9"/>
  <c r="O8" i="9"/>
  <c r="N8" i="9"/>
  <c r="S7" i="9"/>
  <c r="R7" i="9"/>
  <c r="Q7" i="9"/>
  <c r="P7" i="9"/>
  <c r="O7" i="9"/>
  <c r="N7" i="9"/>
  <c r="S6" i="9"/>
  <c r="R6" i="9"/>
  <c r="Q6" i="9"/>
  <c r="P6" i="9"/>
  <c r="O6" i="9"/>
  <c r="N6" i="9"/>
  <c r="S5" i="9"/>
  <c r="R5" i="9"/>
  <c r="Q5" i="9"/>
  <c r="P5" i="9"/>
  <c r="O5" i="9"/>
  <c r="N5" i="9"/>
  <c r="S4" i="9"/>
  <c r="R4" i="9"/>
  <c r="P4" i="9"/>
  <c r="O4" i="9"/>
  <c r="Q4" i="9"/>
  <c r="N4" i="9"/>
</calcChain>
</file>

<file path=xl/sharedStrings.xml><?xml version="1.0" encoding="utf-8"?>
<sst xmlns="http://schemas.openxmlformats.org/spreadsheetml/2006/main" count="28" uniqueCount="12">
  <si>
    <t>Load</t>
  </si>
  <si>
    <t>QUEST</t>
  </si>
  <si>
    <t>Fuzzy</t>
  </si>
  <si>
    <t>NSGA3</t>
  </si>
  <si>
    <t>MQGA</t>
  </si>
  <si>
    <t>Greedy</t>
  </si>
  <si>
    <t>MOPSO</t>
  </si>
  <si>
    <t>RL</t>
  </si>
  <si>
    <t>Edge</t>
  </si>
  <si>
    <t>Cloud</t>
  </si>
  <si>
    <t>Devices</t>
  </si>
  <si>
    <t>QUEST_ND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</si>
</sst>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9618392bf80cf35/Desktop/quest/new/results-excel/result-epigenomics-25.xlsx" TargetMode="External"/><Relationship Id="rId1" Type="http://schemas.openxmlformats.org/officeDocument/2006/relationships/externalLinkPath" Target="/69618392bf80cf35/Desktop/quest/new/results-excel/result-epigenomics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s"/>
      <sheetName val="Data Age"/>
      <sheetName val="Energy"/>
      <sheetName val="Makespan"/>
      <sheetName val="Success Rate"/>
      <sheetName val="Load Edge"/>
      <sheetName val="Load Cloud"/>
      <sheetName val="Loads"/>
    </sheetNames>
    <sheetDataSet>
      <sheetData sheetId="0"/>
      <sheetData sheetId="1"/>
      <sheetData sheetId="2"/>
      <sheetData sheetId="3"/>
      <sheetData sheetId="4"/>
      <sheetData sheetId="5">
        <row r="41">
          <cell r="B41">
            <v>269892.61</v>
          </cell>
          <cell r="C41">
            <v>676041.06200000003</v>
          </cell>
          <cell r="D41">
            <v>7161477.2209999999</v>
          </cell>
        </row>
        <row r="42">
          <cell r="B42">
            <v>269243.75</v>
          </cell>
          <cell r="C42">
            <v>661434.32799999998</v>
          </cell>
          <cell r="D42">
            <v>6993015.9010000005</v>
          </cell>
        </row>
        <row r="43">
          <cell r="B43">
            <v>295336.86</v>
          </cell>
          <cell r="C43">
            <v>690221.28</v>
          </cell>
          <cell r="D43">
            <v>6723599.0999999996</v>
          </cell>
        </row>
        <row r="44">
          <cell r="B44">
            <v>313662.34000000003</v>
          </cell>
          <cell r="C44">
            <v>752558.23699999996</v>
          </cell>
          <cell r="D44">
            <v>7301329.6960000005</v>
          </cell>
        </row>
        <row r="45">
          <cell r="B45">
            <v>304344.027</v>
          </cell>
          <cell r="C45">
            <v>718228.09900000005</v>
          </cell>
          <cell r="D45">
            <v>7324601.8289999999</v>
          </cell>
        </row>
        <row r="46">
          <cell r="B46">
            <v>323167.57299999997</v>
          </cell>
          <cell r="C46">
            <v>740755.11400000006</v>
          </cell>
          <cell r="D46">
            <v>7185641.7400000002</v>
          </cell>
        </row>
        <row r="47">
          <cell r="B47">
            <v>320103.15999999997</v>
          </cell>
          <cell r="C47">
            <v>743571.80700000003</v>
          </cell>
          <cell r="D47">
            <v>7258006.4380000001</v>
          </cell>
        </row>
        <row r="48">
          <cell r="B48">
            <v>321790.842</v>
          </cell>
          <cell r="C48">
            <v>748753.13399999996</v>
          </cell>
          <cell r="D48">
            <v>7375261.727</v>
          </cell>
        </row>
      </sheetData>
      <sheetData sheetId="6">
        <row r="41">
          <cell r="B41">
            <v>1851115.55</v>
          </cell>
          <cell r="C41">
            <v>2028376.5</v>
          </cell>
          <cell r="D41">
            <v>7092663.5499999998</v>
          </cell>
        </row>
        <row r="42">
          <cell r="B42">
            <v>1310991.7</v>
          </cell>
          <cell r="C42">
            <v>1986786.25</v>
          </cell>
          <cell r="D42">
            <v>11539284.550000001</v>
          </cell>
        </row>
        <row r="43">
          <cell r="B43">
            <v>0</v>
          </cell>
          <cell r="C43">
            <v>0</v>
          </cell>
          <cell r="D43">
            <v>684</v>
          </cell>
        </row>
        <row r="44">
          <cell r="B44">
            <v>525001.15</v>
          </cell>
          <cell r="C44">
            <v>411459.4</v>
          </cell>
          <cell r="D44">
            <v>6815476.9500000002</v>
          </cell>
        </row>
        <row r="45">
          <cell r="B45">
            <v>5740.95</v>
          </cell>
          <cell r="C45">
            <v>544345.4</v>
          </cell>
          <cell r="D45">
            <v>2287427.9</v>
          </cell>
        </row>
        <row r="46">
          <cell r="B46">
            <v>158495.75</v>
          </cell>
          <cell r="C46">
            <v>610947.69999999995</v>
          </cell>
          <cell r="D46">
            <v>8071941.5</v>
          </cell>
        </row>
        <row r="47">
          <cell r="B47">
            <v>307503.45</v>
          </cell>
          <cell r="C47">
            <v>250106.85</v>
          </cell>
          <cell r="D47">
            <v>2964833.8</v>
          </cell>
        </row>
        <row r="48">
          <cell r="B48">
            <v>3037.25</v>
          </cell>
          <cell r="C48">
            <v>561445.94999999995</v>
          </cell>
          <cell r="D48">
            <v>5850508.4500000002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02D6-9985-47EC-938A-CD1D490E9451}">
  <dimension ref="A1:S11"/>
  <sheetViews>
    <sheetView tabSelected="1" zoomScale="85" zoomScaleNormal="85" workbookViewId="0">
      <selection activeCell="N11" sqref="N11"/>
    </sheetView>
  </sheetViews>
  <sheetFormatPr defaultRowHeight="14.4" x14ac:dyDescent="0.3"/>
  <cols>
    <col min="3" max="4" width="10.33203125" bestFit="1" customWidth="1"/>
    <col min="5" max="7" width="11.33203125" bestFit="1" customWidth="1"/>
    <col min="9" max="11" width="10.33203125" bestFit="1" customWidth="1"/>
    <col min="12" max="13" width="11.33203125" bestFit="1" customWidth="1"/>
    <col min="15" max="16" width="10.33203125" bestFit="1" customWidth="1"/>
    <col min="17" max="19" width="11.33203125" bestFit="1" customWidth="1"/>
  </cols>
  <sheetData>
    <row r="1" spans="1:19" x14ac:dyDescent="0.3">
      <c r="A1" s="1" t="s">
        <v>10</v>
      </c>
      <c r="B1" s="3">
        <v>10</v>
      </c>
      <c r="C1" s="5"/>
      <c r="D1" s="5"/>
      <c r="E1" s="5"/>
      <c r="F1" s="5"/>
      <c r="G1" s="4"/>
      <c r="H1" s="3">
        <v>30</v>
      </c>
      <c r="I1" s="5"/>
      <c r="J1" s="5"/>
      <c r="K1" s="5"/>
      <c r="L1" s="5"/>
      <c r="M1" s="4"/>
      <c r="N1" s="3">
        <v>50</v>
      </c>
      <c r="O1" s="5"/>
      <c r="P1" s="5"/>
      <c r="Q1" s="5"/>
      <c r="R1" s="5"/>
      <c r="S1" s="4"/>
    </row>
    <row r="2" spans="1:19" x14ac:dyDescent="0.3">
      <c r="A2" s="1" t="s">
        <v>0</v>
      </c>
      <c r="B2" s="3">
        <v>34</v>
      </c>
      <c r="C2" s="4"/>
      <c r="D2" s="3">
        <v>46</v>
      </c>
      <c r="E2" s="4"/>
      <c r="F2" s="3">
        <v>100</v>
      </c>
      <c r="G2" s="4"/>
      <c r="H2" s="3">
        <v>24</v>
      </c>
      <c r="I2" s="4"/>
      <c r="J2" s="3">
        <v>46</v>
      </c>
      <c r="K2" s="4"/>
      <c r="L2" s="3">
        <v>100</v>
      </c>
      <c r="M2" s="4"/>
      <c r="N2" s="3">
        <v>24</v>
      </c>
      <c r="O2" s="4"/>
      <c r="P2" s="3">
        <v>46</v>
      </c>
      <c r="Q2" s="4"/>
      <c r="R2" s="3">
        <v>100</v>
      </c>
      <c r="S2" s="4"/>
    </row>
    <row r="3" spans="1:19" x14ac:dyDescent="0.3">
      <c r="A3" s="1"/>
      <c r="B3" s="1" t="s">
        <v>8</v>
      </c>
      <c r="C3" s="1" t="s">
        <v>9</v>
      </c>
      <c r="D3" s="1" t="s">
        <v>8</v>
      </c>
      <c r="E3" s="1" t="s">
        <v>9</v>
      </c>
      <c r="F3" s="1" t="s">
        <v>8</v>
      </c>
      <c r="G3" s="1" t="s">
        <v>9</v>
      </c>
      <c r="H3" s="1" t="s">
        <v>8</v>
      </c>
      <c r="I3" s="1" t="s">
        <v>9</v>
      </c>
      <c r="J3" s="1" t="s">
        <v>8</v>
      </c>
      <c r="K3" s="1" t="s">
        <v>9</v>
      </c>
      <c r="L3" s="1" t="s">
        <v>8</v>
      </c>
      <c r="M3" s="1" t="s">
        <v>9</v>
      </c>
      <c r="N3" s="1" t="s">
        <v>8</v>
      </c>
      <c r="O3" s="1" t="s">
        <v>9</v>
      </c>
      <c r="P3" s="1" t="s">
        <v>8</v>
      </c>
      <c r="Q3" s="1" t="s">
        <v>9</v>
      </c>
      <c r="R3" s="1" t="s">
        <v>8</v>
      </c>
      <c r="S3" s="1" t="s">
        <v>9</v>
      </c>
    </row>
    <row r="4" spans="1:19" x14ac:dyDescent="0.3">
      <c r="A4" s="1" t="s">
        <v>1</v>
      </c>
      <c r="B4">
        <v>972858.42</v>
      </c>
      <c r="C4" s="1">
        <v>5623031.5</v>
      </c>
      <c r="D4" s="1">
        <v>2387325.2949999999</v>
      </c>
      <c r="E4" s="1">
        <v>12932261.449999999</v>
      </c>
      <c r="F4" s="1">
        <v>31498970.600000001</v>
      </c>
      <c r="G4" s="1">
        <v>65162295.600000001</v>
      </c>
      <c r="H4" s="1">
        <v>411912.72166666668</v>
      </c>
      <c r="I4" s="1">
        <v>2990597.35</v>
      </c>
      <c r="J4" s="1">
        <v>1078863.0583333331</v>
      </c>
      <c r="K4" s="1">
        <v>3903562.8</v>
      </c>
      <c r="L4" s="1">
        <v>11206629.705</v>
      </c>
      <c r="M4" s="1">
        <v>65162295.600000001</v>
      </c>
      <c r="N4" s="1">
        <f>'[1]Load Edge'!$B$41</f>
        <v>269892.61</v>
      </c>
      <c r="O4" s="1">
        <f>'[1]Load Cloud'!$B$41</f>
        <v>1851115.55</v>
      </c>
      <c r="P4" s="1">
        <f>'[1]Load Edge'!$C$41</f>
        <v>676041.06200000003</v>
      </c>
      <c r="Q4" s="1">
        <f>'[1]Load Cloud'!$C$41</f>
        <v>2028376.5</v>
      </c>
      <c r="R4" s="1">
        <f>'[1]Load Edge'!$D$41</f>
        <v>7161477.2209999999</v>
      </c>
      <c r="S4" s="1">
        <f>'[1]Load Cloud'!$D$41</f>
        <v>7092663.5499999998</v>
      </c>
    </row>
    <row r="5" spans="1:19" x14ac:dyDescent="0.3">
      <c r="A5" s="1" t="s">
        <v>11</v>
      </c>
      <c r="B5" s="1">
        <v>929020.7</v>
      </c>
      <c r="C5" s="1">
        <v>5485086.0499999998</v>
      </c>
      <c r="D5" s="1">
        <v>2260934.0550000002</v>
      </c>
      <c r="E5" s="1">
        <v>13319924.699999999</v>
      </c>
      <c r="F5" s="1">
        <v>30033409.074999999</v>
      </c>
      <c r="G5" s="1">
        <v>74819451.599999994</v>
      </c>
      <c r="H5" s="1">
        <v>447181.62666666659</v>
      </c>
      <c r="I5" s="1">
        <v>1357891.75</v>
      </c>
      <c r="J5" s="1">
        <v>1090505.7616666669</v>
      </c>
      <c r="K5" s="1">
        <v>2595442.35</v>
      </c>
      <c r="L5" s="1">
        <v>11148341.470000001</v>
      </c>
      <c r="M5" s="1">
        <v>74819451.599999994</v>
      </c>
      <c r="N5" s="1">
        <f>'[1]Load Edge'!$B$42</f>
        <v>269243.75</v>
      </c>
      <c r="O5" s="1">
        <f>'[1]Load Cloud'!$B$42</f>
        <v>1310991.7</v>
      </c>
      <c r="P5" s="1">
        <f>'[1]Load Edge'!$C$42</f>
        <v>661434.32799999998</v>
      </c>
      <c r="Q5" s="1">
        <f>'[1]Load Cloud'!$C$42</f>
        <v>1986786.25</v>
      </c>
      <c r="R5" s="1">
        <f>'[1]Load Edge'!$D$42</f>
        <v>6993015.9010000005</v>
      </c>
      <c r="S5" s="1">
        <f>'[1]Load Cloud'!$D$42</f>
        <v>11539284.550000001</v>
      </c>
    </row>
    <row r="6" spans="1:19" x14ac:dyDescent="0.3">
      <c r="A6" s="2" t="s">
        <v>2</v>
      </c>
      <c r="B6" s="1">
        <v>1501358.1</v>
      </c>
      <c r="C6" s="1">
        <v>9409</v>
      </c>
      <c r="D6" s="1">
        <v>3572194.6</v>
      </c>
      <c r="E6" s="1">
        <v>1372676</v>
      </c>
      <c r="F6" s="1">
        <v>33833239.700000003</v>
      </c>
      <c r="G6" s="1">
        <v>24623161</v>
      </c>
      <c r="H6" s="1">
        <v>492396.53333333333</v>
      </c>
      <c r="I6" s="1">
        <v>0</v>
      </c>
      <c r="J6" s="1">
        <v>1150585.6333333331</v>
      </c>
      <c r="K6" s="1">
        <v>2642</v>
      </c>
      <c r="L6" s="1">
        <v>11889572.366666671</v>
      </c>
      <c r="M6" s="1">
        <v>24623161</v>
      </c>
      <c r="N6" s="1">
        <f>'[1]Load Edge'!$B$43</f>
        <v>295336.86</v>
      </c>
      <c r="O6" s="1">
        <f>'[1]Load Cloud'!$B$43</f>
        <v>0</v>
      </c>
      <c r="P6" s="1">
        <f>'[1]Load Edge'!$C$43</f>
        <v>690221.28</v>
      </c>
      <c r="Q6" s="1">
        <f>'[1]Load Cloud'!$C$43</f>
        <v>0</v>
      </c>
      <c r="R6" s="1">
        <f>'[1]Load Edge'!$D$43</f>
        <v>6723599.0999999996</v>
      </c>
      <c r="S6" s="1">
        <f>'[1]Load Cloud'!$D$43</f>
        <v>684</v>
      </c>
    </row>
    <row r="7" spans="1:19" x14ac:dyDescent="0.3">
      <c r="A7" s="1" t="s">
        <v>3</v>
      </c>
      <c r="B7" s="1">
        <v>1383181.085</v>
      </c>
      <c r="C7" s="1">
        <v>2158581.65</v>
      </c>
      <c r="D7" s="1">
        <v>3432568.645</v>
      </c>
      <c r="E7" s="1">
        <v>3492812.15</v>
      </c>
      <c r="F7" s="1">
        <v>33488244.109999999</v>
      </c>
      <c r="G7" s="1">
        <v>31759941.100000001</v>
      </c>
      <c r="H7" s="1">
        <v>523871.84666666668</v>
      </c>
      <c r="I7" s="1">
        <v>388080.25</v>
      </c>
      <c r="J7" s="1">
        <v>1217949.861666667</v>
      </c>
      <c r="K7" s="1">
        <v>1157545.05</v>
      </c>
      <c r="L7" s="1">
        <v>11947888.268333331</v>
      </c>
      <c r="M7" s="1">
        <v>31759941.100000001</v>
      </c>
      <c r="N7" s="1">
        <f>'[1]Load Edge'!$B$44</f>
        <v>313662.34000000003</v>
      </c>
      <c r="O7" s="1">
        <f>'[1]Load Cloud'!$B$44</f>
        <v>525001.15</v>
      </c>
      <c r="P7" s="1">
        <f>'[1]Load Edge'!$C$44</f>
        <v>752558.23699999996</v>
      </c>
      <c r="Q7" s="1">
        <f>'[1]Load Cloud'!$C$44</f>
        <v>411459.4</v>
      </c>
      <c r="R7" s="1">
        <f>'[1]Load Edge'!$D$44</f>
        <v>7301329.6960000005</v>
      </c>
      <c r="S7" s="1">
        <f>'[1]Load Cloud'!$D$44</f>
        <v>6815476.9500000002</v>
      </c>
    </row>
    <row r="8" spans="1:19" x14ac:dyDescent="0.3">
      <c r="A8" s="1" t="s">
        <v>4</v>
      </c>
      <c r="B8" s="1">
        <v>1530822.64</v>
      </c>
      <c r="C8" s="1">
        <v>13866</v>
      </c>
      <c r="D8" s="1">
        <v>3497908.0249999999</v>
      </c>
      <c r="E8" s="1">
        <v>2066045.35</v>
      </c>
      <c r="F8" s="1">
        <v>33911448.314999998</v>
      </c>
      <c r="G8" s="1">
        <v>29452470.100000001</v>
      </c>
      <c r="H8" s="1">
        <v>508975.66333333327</v>
      </c>
      <c r="I8" s="1">
        <v>4170.3</v>
      </c>
      <c r="J8" s="1">
        <v>1206880.9883333331</v>
      </c>
      <c r="K8" s="1">
        <v>280447.25</v>
      </c>
      <c r="L8" s="1">
        <v>12000975.705</v>
      </c>
      <c r="M8" s="1">
        <v>29452470.100000001</v>
      </c>
      <c r="N8" s="1">
        <f>'[1]Load Edge'!$B$45</f>
        <v>304344.027</v>
      </c>
      <c r="O8" s="1">
        <f>'[1]Load Cloud'!$B$45</f>
        <v>5740.95</v>
      </c>
      <c r="P8" s="1">
        <f>'[1]Load Edge'!$C$45</f>
        <v>718228.09900000005</v>
      </c>
      <c r="Q8" s="1">
        <f>'[1]Load Cloud'!$C$45</f>
        <v>544345.4</v>
      </c>
      <c r="R8" s="1">
        <f>'[1]Load Edge'!$D$45</f>
        <v>7324601.8289999999</v>
      </c>
      <c r="S8" s="1">
        <f>'[1]Load Cloud'!$D$45</f>
        <v>2287427.9</v>
      </c>
    </row>
    <row r="9" spans="1:19" x14ac:dyDescent="0.3">
      <c r="A9" s="1" t="s">
        <v>5</v>
      </c>
      <c r="B9" s="1">
        <v>1557203.59</v>
      </c>
      <c r="C9" s="1">
        <v>699508.95</v>
      </c>
      <c r="D9" s="1">
        <v>3337088.5950000002</v>
      </c>
      <c r="E9" s="1">
        <v>3812292.4</v>
      </c>
      <c r="F9" s="1">
        <v>34032054.905000001</v>
      </c>
      <c r="G9" s="1">
        <v>27855824.25</v>
      </c>
      <c r="H9" s="1">
        <v>513117.34666666668</v>
      </c>
      <c r="I9" s="1">
        <v>651985.4</v>
      </c>
      <c r="J9" s="1">
        <v>1198493.0983333329</v>
      </c>
      <c r="K9" s="1">
        <v>1347561</v>
      </c>
      <c r="L9" s="1">
        <v>12125678.911666671</v>
      </c>
      <c r="M9" s="1">
        <v>27855824.25</v>
      </c>
      <c r="N9" s="1">
        <f>'[1]Load Edge'!$B$46</f>
        <v>323167.57299999997</v>
      </c>
      <c r="O9" s="1">
        <f>'[1]Load Cloud'!$B$46</f>
        <v>158495.75</v>
      </c>
      <c r="P9" s="1">
        <f>'[1]Load Edge'!$C$46</f>
        <v>740755.11400000006</v>
      </c>
      <c r="Q9" s="1">
        <f>'[1]Load Cloud'!$C$46</f>
        <v>610947.69999999995</v>
      </c>
      <c r="R9" s="1">
        <f>'[1]Load Edge'!$D$46</f>
        <v>7185641.7400000002</v>
      </c>
      <c r="S9" s="1">
        <f>'[1]Load Cloud'!$D$46</f>
        <v>8071941.5</v>
      </c>
    </row>
    <row r="10" spans="1:19" x14ac:dyDescent="0.3">
      <c r="A10" s="2" t="s">
        <v>6</v>
      </c>
      <c r="B10" s="1">
        <v>1538446.95</v>
      </c>
      <c r="C10" s="1">
        <v>798046.9</v>
      </c>
      <c r="D10" s="1">
        <v>3339104.04</v>
      </c>
      <c r="E10" s="1">
        <v>3795712.55</v>
      </c>
      <c r="F10" s="1">
        <v>33385527.515000001</v>
      </c>
      <c r="G10" s="1">
        <v>31906188.25</v>
      </c>
      <c r="H10" s="1">
        <v>524190.315</v>
      </c>
      <c r="I10" s="1">
        <v>354921.6</v>
      </c>
      <c r="J10" s="1">
        <v>1246501.8583333329</v>
      </c>
      <c r="K10" s="1">
        <v>685530.1</v>
      </c>
      <c r="L10" s="1">
        <v>11616893.59</v>
      </c>
      <c r="M10" s="1">
        <v>31906188.25</v>
      </c>
      <c r="N10" s="1">
        <f>'[1]Load Edge'!$B$47</f>
        <v>320103.15999999997</v>
      </c>
      <c r="O10" s="1">
        <f>'[1]Load Cloud'!$B$47</f>
        <v>307503.45</v>
      </c>
      <c r="P10" s="1">
        <f>'[1]Load Edge'!$C$47</f>
        <v>743571.80700000003</v>
      </c>
      <c r="Q10" s="1">
        <f>'[1]Load Cloud'!$C$47</f>
        <v>250106.85</v>
      </c>
      <c r="R10" s="1">
        <f>'[1]Load Edge'!$D$47</f>
        <v>7258006.4380000001</v>
      </c>
      <c r="S10" s="1">
        <f>'[1]Load Cloud'!$D$47</f>
        <v>2964833.8</v>
      </c>
    </row>
    <row r="11" spans="1:19" x14ac:dyDescent="0.3">
      <c r="A11" s="1" t="s">
        <v>7</v>
      </c>
      <c r="B11" s="1">
        <v>1473353.0449999999</v>
      </c>
      <c r="C11" s="1">
        <v>1291155.55</v>
      </c>
      <c r="D11" s="1">
        <v>3422571.48</v>
      </c>
      <c r="E11" s="1">
        <v>3346585.45</v>
      </c>
      <c r="F11" s="1">
        <v>33893024.990000002</v>
      </c>
      <c r="G11" s="1">
        <v>30445327.899999999</v>
      </c>
      <c r="H11" s="1">
        <v>505590.10166666668</v>
      </c>
      <c r="I11" s="1">
        <v>978364.25</v>
      </c>
      <c r="J11" s="1">
        <v>1209136.6516666671</v>
      </c>
      <c r="K11" s="1">
        <v>1317466.3999999999</v>
      </c>
      <c r="L11" s="1">
        <v>12058925.151666669</v>
      </c>
      <c r="M11" s="1">
        <v>30445327.899999999</v>
      </c>
      <c r="N11" s="1">
        <f>'[1]Load Edge'!$B$48</f>
        <v>321790.842</v>
      </c>
      <c r="O11" s="1">
        <f>'[1]Load Cloud'!$B$48</f>
        <v>3037.25</v>
      </c>
      <c r="P11" s="1">
        <f>'[1]Load Edge'!$C$48</f>
        <v>748753.13399999996</v>
      </c>
      <c r="Q11" s="1">
        <f>'[1]Load Cloud'!$C$48</f>
        <v>561445.94999999995</v>
      </c>
      <c r="R11" s="1">
        <f>'[1]Load Edge'!$D$48</f>
        <v>7375261.727</v>
      </c>
      <c r="S11" s="1">
        <f>'[1]Load Cloud'!$D$48</f>
        <v>5850508.4500000002</v>
      </c>
    </row>
  </sheetData>
  <mergeCells count="12">
    <mergeCell ref="R2:S2"/>
    <mergeCell ref="B1:G1"/>
    <mergeCell ref="H1:M1"/>
    <mergeCell ref="N1:S1"/>
    <mergeCell ref="B2:C2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2025-04-07T16:32:54Z</dcterms:modified>
  <dc:language>en-US</dc:language>
</cp:coreProperties>
</file>