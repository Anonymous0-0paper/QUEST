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69618392bf80cf35/Desktop/quest/new/results-excel/"/>
    </mc:Choice>
  </mc:AlternateContent>
  <xr:revisionPtr revIDLastSave="16" documentId="11_17CC42C9EB811727FA04168DB88B7F953E3692B3" xr6:coauthVersionLast="47" xr6:coauthVersionMax="47" xr10:uidLastSave="{9D3D46CF-8554-49FF-A759-B7822BF12392}"/>
  <bookViews>
    <workbookView xWindow="-120" yWindow="-120" windowWidth="29040" windowHeight="15720" tabRatio="500" xr2:uid="{00000000-000D-0000-FFFF-FFFF00000000}"/>
  </bookViews>
  <sheets>
    <sheet name="Charts" sheetId="9" r:id="rId1"/>
    <sheet name="Data Age" sheetId="2" r:id="rId2"/>
    <sheet name="Energy" sheetId="3" r:id="rId3"/>
    <sheet name="Makespan" sheetId="4" r:id="rId4"/>
    <sheet name="Success Rate" sheetId="5" r:id="rId5"/>
    <sheet name="Load Edge" sheetId="6" r:id="rId6"/>
    <sheet name="Load Cloud" sheetId="7" r:id="rId7"/>
    <sheet name="Loads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T68" i="9" l="1"/>
  <c r="T69" i="9"/>
  <c r="T70" i="9"/>
  <c r="T85" i="9" s="1"/>
  <c r="T71" i="9"/>
  <c r="T72" i="9"/>
  <c r="T87" i="9" s="1"/>
  <c r="T73" i="9"/>
  <c r="T88" i="9" s="1"/>
  <c r="T74" i="9"/>
  <c r="T89" i="9" s="1"/>
  <c r="T75" i="9"/>
  <c r="T90" i="9" s="1"/>
  <c r="S69" i="9"/>
  <c r="S70" i="9"/>
  <c r="S71" i="9"/>
  <c r="S72" i="9"/>
  <c r="S73" i="9"/>
  <c r="S74" i="9"/>
  <c r="S75" i="9"/>
  <c r="S68" i="9"/>
  <c r="S90" i="9" s="1"/>
  <c r="T37" i="9"/>
  <c r="T38" i="9"/>
  <c r="T39" i="9"/>
  <c r="T40" i="9"/>
  <c r="T41" i="9"/>
  <c r="T56" i="9" s="1"/>
  <c r="T42" i="9"/>
  <c r="T57" i="9" s="1"/>
  <c r="T43" i="9"/>
  <c r="T58" i="9" s="1"/>
  <c r="T44" i="9"/>
  <c r="T59" i="9" s="1"/>
  <c r="S38" i="9"/>
  <c r="S39" i="9"/>
  <c r="S40" i="9"/>
  <c r="S41" i="9"/>
  <c r="S42" i="9"/>
  <c r="S43" i="9"/>
  <c r="S44" i="9"/>
  <c r="S37" i="9"/>
  <c r="S4" i="9"/>
  <c r="T4" i="9"/>
  <c r="S5" i="9"/>
  <c r="T5" i="9"/>
  <c r="S6" i="9"/>
  <c r="T6" i="9"/>
  <c r="S7" i="9"/>
  <c r="S22" i="9" s="1"/>
  <c r="T7" i="9"/>
  <c r="T22" i="9" s="1"/>
  <c r="S8" i="9"/>
  <c r="S23" i="9" s="1"/>
  <c r="T8" i="9"/>
  <c r="T23" i="9" s="1"/>
  <c r="S9" i="9"/>
  <c r="S24" i="9" s="1"/>
  <c r="T9" i="9"/>
  <c r="S10" i="9"/>
  <c r="S25" i="9" s="1"/>
  <c r="T10" i="9"/>
  <c r="T25" i="9" s="1"/>
  <c r="T3" i="9"/>
  <c r="T24" i="9" s="1"/>
  <c r="S3" i="9"/>
  <c r="S20" i="9" s="1"/>
  <c r="S89" i="9"/>
  <c r="T84" i="9"/>
  <c r="S59" i="9"/>
  <c r="S58" i="9"/>
  <c r="T54" i="9"/>
  <c r="T53" i="9"/>
  <c r="T52" i="9"/>
  <c r="S52" i="9"/>
  <c r="T83" i="9"/>
  <c r="T18" i="9"/>
  <c r="S18" i="9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28" i="5"/>
  <c r="D28" i="5"/>
  <c r="E27" i="5"/>
  <c r="D27" i="5"/>
  <c r="E26" i="5"/>
  <c r="D26" i="5"/>
  <c r="E25" i="5"/>
  <c r="D25" i="5"/>
  <c r="E24" i="5"/>
  <c r="D24" i="5"/>
  <c r="E23" i="5"/>
  <c r="D23" i="5"/>
  <c r="E22" i="5"/>
  <c r="D22" i="5"/>
  <c r="E21" i="5"/>
  <c r="D21" i="5"/>
  <c r="E17" i="5"/>
  <c r="D17" i="5"/>
  <c r="E16" i="5"/>
  <c r="D16" i="5"/>
  <c r="E15" i="5"/>
  <c r="D15" i="5"/>
  <c r="E14" i="5"/>
  <c r="D14" i="5"/>
  <c r="E13" i="5"/>
  <c r="D13" i="5"/>
  <c r="E12" i="5"/>
  <c r="D12" i="5"/>
  <c r="E11" i="5"/>
  <c r="D11" i="5"/>
  <c r="E10" i="5"/>
  <c r="D10" i="5"/>
  <c r="E9" i="5"/>
  <c r="D9" i="5"/>
  <c r="E8" i="5"/>
  <c r="D8" i="5"/>
  <c r="E7" i="5"/>
  <c r="D7" i="5"/>
  <c r="E6" i="5"/>
  <c r="D6" i="5"/>
  <c r="E5" i="5"/>
  <c r="D5" i="5"/>
  <c r="E4" i="5"/>
  <c r="D4" i="5"/>
  <c r="E3" i="5"/>
  <c r="D3" i="5"/>
  <c r="E2" i="5"/>
  <c r="D2" i="5"/>
  <c r="S84" i="9" l="1"/>
  <c r="S83" i="9"/>
  <c r="S85" i="9"/>
  <c r="S87" i="9"/>
  <c r="S88" i="9"/>
  <c r="S56" i="9"/>
  <c r="S53" i="9"/>
  <c r="S54" i="9"/>
  <c r="T19" i="9"/>
  <c r="T20" i="9"/>
  <c r="S19" i="9"/>
  <c r="S57" i="9"/>
  <c r="S21" i="9"/>
  <c r="S55" i="9"/>
  <c r="S86" i="9"/>
  <c r="T21" i="9"/>
  <c r="T55" i="9"/>
  <c r="T86" i="9"/>
</calcChain>
</file>

<file path=xl/sharedStrings.xml><?xml version="1.0" encoding="utf-8"?>
<sst xmlns="http://schemas.openxmlformats.org/spreadsheetml/2006/main" count="392" uniqueCount="23">
  <si>
    <t>Algorithm</t>
  </si>
  <si>
    <t>Load</t>
  </si>
  <si>
    <t>Average</t>
  </si>
  <si>
    <t>Min</t>
  </si>
  <si>
    <t>Max</t>
  </si>
  <si>
    <t>Std Dev</t>
  </si>
  <si>
    <t>QUEST</t>
  </si>
  <si>
    <t>QUEST_NDVFS</t>
  </si>
  <si>
    <t>Fuzzy</t>
  </si>
  <si>
    <t>NSGA3</t>
  </si>
  <si>
    <t>MQGA</t>
  </si>
  <si>
    <t>Greedy</t>
  </si>
  <si>
    <t>MOPSO</t>
  </si>
  <si>
    <t>RL</t>
  </si>
  <si>
    <t>Summary by Algorithm</t>
  </si>
  <si>
    <t>Average data for chart</t>
  </si>
  <si>
    <t>Algorithms</t>
  </si>
  <si>
    <t>All data for chart</t>
  </si>
  <si>
    <t>Edge</t>
  </si>
  <si>
    <t>Cloud</t>
  </si>
  <si>
    <t>AoI</t>
  </si>
  <si>
    <t>Energy</t>
  </si>
  <si>
    <t>Makespan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</si>
</sst>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3" x14ac:knownFonts="1">
    <font>
      <sz val="11"/>
      <color theme="1"/>
      <name val="Calibri"/>
      <family val="2"/>
      <charset val="1"/>
    </font>
    <font>
      <b/>
      <sz val="11"/>
      <name val="Cambria"/>
      <family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CC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E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Charts!$R$18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Charts!$S$17:$T$17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Charts!$S$18:$T$18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C4-4516-AF2A-5E638BDED4AD}"/>
            </c:ext>
          </c:extLst>
        </c:ser>
        <c:ser>
          <c:idx val="1"/>
          <c:order val="1"/>
          <c:tx>
            <c:strRef>
              <c:f>Charts!$R$19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Charts!$S$17:$T$17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Charts!$S$19:$T$19</c:f>
              <c:numCache>
                <c:formatCode>General</c:formatCode>
                <c:ptCount val="2"/>
                <c:pt idx="0">
                  <c:v>0.80225955064622734</c:v>
                </c:pt>
                <c:pt idx="1">
                  <c:v>1.0174296757206012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C4-4516-AF2A-5E638BDED4AD}"/>
            </c:ext>
          </c:extLst>
        </c:ser>
        <c:ser>
          <c:idx val="2"/>
          <c:order val="2"/>
          <c:tx>
            <c:strRef>
              <c:f>Charts!$R$20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Charts!$S$17:$T$17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Charts!$S$20:$T$20</c:f>
              <c:numCache>
                <c:formatCode>General</c:formatCode>
                <c:ptCount val="2"/>
                <c:pt idx="0">
                  <c:v>2.9658381634624313</c:v>
                </c:pt>
                <c:pt idx="1">
                  <c:v>1.856992075571495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C4-4516-AF2A-5E638BDED4AD}"/>
            </c:ext>
          </c:extLst>
        </c:ser>
        <c:ser>
          <c:idx val="3"/>
          <c:order val="3"/>
          <c:tx>
            <c:strRef>
              <c:f>Charts!$R$21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Charts!$S$17:$T$17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Charts!$S$21:$T$21</c:f>
              <c:numCache>
                <c:formatCode>General</c:formatCode>
                <c:ptCount val="2"/>
                <c:pt idx="0">
                  <c:v>2.3820029095391204</c:v>
                </c:pt>
                <c:pt idx="1">
                  <c:v>1.4848057378364798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C4-4516-AF2A-5E638BDED4AD}"/>
            </c:ext>
          </c:extLst>
        </c:ser>
        <c:ser>
          <c:idx val="4"/>
          <c:order val="4"/>
          <c:tx>
            <c:strRef>
              <c:f>Charts!$R$22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Charts!$S$17:$T$17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Charts!$S$22:$T$22</c:f>
              <c:numCache>
                <c:formatCode>General</c:formatCode>
                <c:ptCount val="2"/>
                <c:pt idx="0">
                  <c:v>2.5647139157499108</c:v>
                </c:pt>
                <c:pt idx="1">
                  <c:v>1.4511515459845459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0C4-4516-AF2A-5E638BDED4AD}"/>
            </c:ext>
          </c:extLst>
        </c:ser>
        <c:ser>
          <c:idx val="5"/>
          <c:order val="5"/>
          <c:tx>
            <c:strRef>
              <c:f>Charts!$R$23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Charts!$S$17:$T$17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Charts!$S$23:$T$23</c:f>
              <c:numCache>
                <c:formatCode>General</c:formatCode>
                <c:ptCount val="2"/>
                <c:pt idx="0">
                  <c:v>3.1435870499008893</c:v>
                </c:pt>
                <c:pt idx="1">
                  <c:v>1.6907945257717376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0C4-4516-AF2A-5E638BDED4AD}"/>
            </c:ext>
          </c:extLst>
        </c:ser>
        <c:ser>
          <c:idx val="6"/>
          <c:order val="6"/>
          <c:tx>
            <c:strRef>
              <c:f>Charts!$R$24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Charts!$S$17:$T$17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Charts!$S$24:$T$24</c:f>
              <c:numCache>
                <c:formatCode>General</c:formatCode>
                <c:ptCount val="2"/>
                <c:pt idx="0">
                  <c:v>3.7840177040913132</c:v>
                </c:pt>
                <c:pt idx="1">
                  <c:v>1.529492313957812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0C4-4516-AF2A-5E638BDED4AD}"/>
            </c:ext>
          </c:extLst>
        </c:ser>
        <c:ser>
          <c:idx val="7"/>
          <c:order val="7"/>
          <c:tx>
            <c:strRef>
              <c:f>Charts!$R$25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Charts!$S$17:$T$17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Charts!$S$25:$T$25</c:f>
              <c:numCache>
                <c:formatCode>General</c:formatCode>
                <c:ptCount val="2"/>
                <c:pt idx="0">
                  <c:v>2.9250618905423162</c:v>
                </c:pt>
                <c:pt idx="1">
                  <c:v>1.550771016835603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0C4-4516-AF2A-5E638BDED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Alibaba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75"/>
              <c:y val="0.84871653702944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4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AoI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0.190298268170972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Charts!$R$52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Charts!$S$51:$T$51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Charts!$S$52:$T$52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29-49B8-862A-9244B86DFBB8}"/>
            </c:ext>
          </c:extLst>
        </c:ser>
        <c:ser>
          <c:idx val="1"/>
          <c:order val="1"/>
          <c:tx>
            <c:strRef>
              <c:f>Charts!$R$53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Charts!$S$51:$T$51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Charts!$S$53:$T$53</c:f>
              <c:numCache>
                <c:formatCode>General</c:formatCode>
                <c:ptCount val="2"/>
                <c:pt idx="0">
                  <c:v>1.0968008389837243</c:v>
                </c:pt>
                <c:pt idx="1">
                  <c:v>0.87819440853817432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29-49B8-862A-9244B86DFBB8}"/>
            </c:ext>
          </c:extLst>
        </c:ser>
        <c:ser>
          <c:idx val="2"/>
          <c:order val="2"/>
          <c:tx>
            <c:strRef>
              <c:f>Charts!$R$54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Charts!$S$51:$T$51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Charts!$S$54:$T$54</c:f>
              <c:numCache>
                <c:formatCode>General</c:formatCode>
                <c:ptCount val="2"/>
                <c:pt idx="0">
                  <c:v>2.2462305834296701</c:v>
                </c:pt>
                <c:pt idx="1">
                  <c:v>1.454089968449654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29-49B8-862A-9244B86DFBB8}"/>
            </c:ext>
          </c:extLst>
        </c:ser>
        <c:ser>
          <c:idx val="3"/>
          <c:order val="3"/>
          <c:tx>
            <c:strRef>
              <c:f>Charts!$R$55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Charts!$S$51:$T$51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Charts!$S$55:$T$55</c:f>
              <c:numCache>
                <c:formatCode>General</c:formatCode>
                <c:ptCount val="2"/>
                <c:pt idx="0">
                  <c:v>1.5007375248446353</c:v>
                </c:pt>
                <c:pt idx="1">
                  <c:v>1.2843700536894069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29-49B8-862A-9244B86DFBB8}"/>
            </c:ext>
          </c:extLst>
        </c:ser>
        <c:ser>
          <c:idx val="4"/>
          <c:order val="4"/>
          <c:tx>
            <c:strRef>
              <c:f>Charts!$R$56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Charts!$S$51:$T$51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Charts!$S$56:$T$56</c:f>
              <c:numCache>
                <c:formatCode>General</c:formatCode>
                <c:ptCount val="2"/>
                <c:pt idx="0">
                  <c:v>1.4274437558597954</c:v>
                </c:pt>
                <c:pt idx="1">
                  <c:v>1.1494575196015553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29-49B8-862A-9244B86DFBB8}"/>
            </c:ext>
          </c:extLst>
        </c:ser>
        <c:ser>
          <c:idx val="5"/>
          <c:order val="5"/>
          <c:tx>
            <c:strRef>
              <c:f>Charts!$R$57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Charts!$S$51:$T$51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Charts!$S$57:$T$57</c:f>
              <c:numCache>
                <c:formatCode>General</c:formatCode>
                <c:ptCount val="2"/>
                <c:pt idx="0">
                  <c:v>1.8707295393238499</c:v>
                </c:pt>
                <c:pt idx="1">
                  <c:v>1.2943325780150556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B29-49B8-862A-9244B86DFBB8}"/>
            </c:ext>
          </c:extLst>
        </c:ser>
        <c:ser>
          <c:idx val="6"/>
          <c:order val="6"/>
          <c:tx>
            <c:strRef>
              <c:f>Charts!$R$58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Charts!$S$51:$T$51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Charts!$S$58:$T$58</c:f>
              <c:numCache>
                <c:formatCode>General</c:formatCode>
                <c:ptCount val="2"/>
                <c:pt idx="0">
                  <c:v>1.6223412603347092</c:v>
                </c:pt>
                <c:pt idx="1">
                  <c:v>1.2513067803024625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B29-49B8-862A-9244B86DFBB8}"/>
            </c:ext>
          </c:extLst>
        </c:ser>
        <c:ser>
          <c:idx val="7"/>
          <c:order val="7"/>
          <c:tx>
            <c:strRef>
              <c:f>Charts!$R$59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Charts!$S$51:$T$51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Charts!$S$59:$T$59</c:f>
              <c:numCache>
                <c:formatCode>General</c:formatCode>
                <c:ptCount val="2"/>
                <c:pt idx="0">
                  <c:v>1.874248931712297</c:v>
                </c:pt>
                <c:pt idx="1">
                  <c:v>1.1821875733201461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B29-49B8-862A-9244B86DFB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Alibaba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75"/>
              <c:y val="0.84871653702944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.4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Energy Cons.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3.637865260645584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Charts!$R$83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Charts!$S$82:$T$82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Charts!$S$83:$T$83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49-4974-9F18-8A2D54F6EF83}"/>
            </c:ext>
          </c:extLst>
        </c:ser>
        <c:ser>
          <c:idx val="1"/>
          <c:order val="1"/>
          <c:tx>
            <c:strRef>
              <c:f>Charts!$R$84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Charts!$S$82:$T$82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Charts!$S$84:$T$84</c:f>
              <c:numCache>
                <c:formatCode>General</c:formatCode>
                <c:ptCount val="2"/>
                <c:pt idx="0">
                  <c:v>0.9779829131137513</c:v>
                </c:pt>
                <c:pt idx="1">
                  <c:v>0.85715830356237244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49-4974-9F18-8A2D54F6EF83}"/>
            </c:ext>
          </c:extLst>
        </c:ser>
        <c:ser>
          <c:idx val="2"/>
          <c:order val="2"/>
          <c:tx>
            <c:strRef>
              <c:f>Charts!$R$85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Charts!$S$82:$T$82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Charts!$S$85:$T$85</c:f>
              <c:numCache>
                <c:formatCode>General</c:formatCode>
                <c:ptCount val="2"/>
                <c:pt idx="0">
                  <c:v>1.9336250383221956</c:v>
                </c:pt>
                <c:pt idx="1">
                  <c:v>1.5314343658520713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49-4974-9F18-8A2D54F6EF83}"/>
            </c:ext>
          </c:extLst>
        </c:ser>
        <c:ser>
          <c:idx val="3"/>
          <c:order val="3"/>
          <c:tx>
            <c:strRef>
              <c:f>Charts!$R$86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Charts!$S$82:$T$82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Charts!$S$86:$T$86</c:f>
              <c:numCache>
                <c:formatCode>General</c:formatCode>
                <c:ptCount val="2"/>
                <c:pt idx="0">
                  <c:v>1.315849479606594</c:v>
                </c:pt>
                <c:pt idx="1">
                  <c:v>1.3159594552225591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49-4974-9F18-8A2D54F6EF83}"/>
            </c:ext>
          </c:extLst>
        </c:ser>
        <c:ser>
          <c:idx val="4"/>
          <c:order val="4"/>
          <c:tx>
            <c:strRef>
              <c:f>Charts!$R$87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Charts!$S$82:$T$82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Charts!$S$87:$T$87</c:f>
              <c:numCache>
                <c:formatCode>General</c:formatCode>
                <c:ptCount val="2"/>
                <c:pt idx="0">
                  <c:v>1.1649915509777347</c:v>
                </c:pt>
                <c:pt idx="1">
                  <c:v>1.1810317178337781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49-4974-9F18-8A2D54F6EF83}"/>
            </c:ext>
          </c:extLst>
        </c:ser>
        <c:ser>
          <c:idx val="5"/>
          <c:order val="5"/>
          <c:tx>
            <c:strRef>
              <c:f>Charts!$R$88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Charts!$S$82:$T$82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Charts!$S$88:$T$88</c:f>
              <c:numCache>
                <c:formatCode>General</c:formatCode>
                <c:ptCount val="2"/>
                <c:pt idx="0">
                  <c:v>1.6050302906179237</c:v>
                </c:pt>
                <c:pt idx="1">
                  <c:v>1.3430327267598317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049-4974-9F18-8A2D54F6EF83}"/>
            </c:ext>
          </c:extLst>
        </c:ser>
        <c:ser>
          <c:idx val="6"/>
          <c:order val="6"/>
          <c:tx>
            <c:strRef>
              <c:f>Charts!$R$89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Charts!$S$82:$T$82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Charts!$S$89:$T$89</c:f>
              <c:numCache>
                <c:formatCode>General</c:formatCode>
                <c:ptCount val="2"/>
                <c:pt idx="0">
                  <c:v>1.347938640759492</c:v>
                </c:pt>
                <c:pt idx="1">
                  <c:v>1.2750407625106477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049-4974-9F18-8A2D54F6EF83}"/>
            </c:ext>
          </c:extLst>
        </c:ser>
        <c:ser>
          <c:idx val="7"/>
          <c:order val="7"/>
          <c:tx>
            <c:strRef>
              <c:f>Charts!$R$90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Charts!$S$82:$T$82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Charts!$S$90:$T$90</c:f>
              <c:numCache>
                <c:formatCode>General</c:formatCode>
                <c:ptCount val="2"/>
                <c:pt idx="0">
                  <c:v>1.6060180334166643</c:v>
                </c:pt>
                <c:pt idx="1">
                  <c:v>1.2296545138971147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049-4974-9F18-8A2D54F6EF83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Alibaba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75"/>
              <c:y val="0.84871653702944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Makespan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8.099305332703110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0</xdr:row>
      <xdr:rowOff>174171</xdr:rowOff>
    </xdr:from>
    <xdr:to>
      <xdr:col>15</xdr:col>
      <xdr:colOff>11984</xdr:colOff>
      <xdr:row>31</xdr:row>
      <xdr:rowOff>130629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DFC84C-105E-432A-8AD0-910690AF5C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326572</xdr:colOff>
      <xdr:row>32</xdr:row>
      <xdr:rowOff>43543</xdr:rowOff>
    </xdr:from>
    <xdr:to>
      <xdr:col>15</xdr:col>
      <xdr:colOff>33756</xdr:colOff>
      <xdr:row>63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AEB4BE-9E40-4095-805A-EE2AFEC42F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359228</xdr:colOff>
      <xdr:row>63</xdr:row>
      <xdr:rowOff>97971</xdr:rowOff>
    </xdr:from>
    <xdr:to>
      <xdr:col>15</xdr:col>
      <xdr:colOff>66412</xdr:colOff>
      <xdr:row>94</xdr:row>
      <xdr:rowOff>54429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0FF889F-476A-4745-953C-06786F5773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D16A3-3503-4974-918A-764AD04261F8}">
  <dimension ref="R2:T90"/>
  <sheetViews>
    <sheetView tabSelected="1" topLeftCell="A59" zoomScale="98" zoomScaleNormal="98" workbookViewId="0">
      <selection activeCell="P77" sqref="P77"/>
    </sheetView>
  </sheetViews>
  <sheetFormatPr defaultRowHeight="15" x14ac:dyDescent="0.25"/>
  <cols>
    <col min="19" max="19" width="12.28515625" bestFit="1" customWidth="1"/>
    <col min="22" max="23" width="12.7109375" bestFit="1" customWidth="1"/>
  </cols>
  <sheetData>
    <row r="2" spans="18:20" x14ac:dyDescent="0.25">
      <c r="R2" t="s">
        <v>20</v>
      </c>
      <c r="S2">
        <v>1000</v>
      </c>
      <c r="T2">
        <v>2000</v>
      </c>
    </row>
    <row r="3" spans="18:20" x14ac:dyDescent="0.25">
      <c r="R3" s="4" t="s">
        <v>6</v>
      </c>
      <c r="S3">
        <f>'Data Age'!B33</f>
        <v>313823.45918367401</v>
      </c>
      <c r="T3">
        <f>'Data Age'!C33</f>
        <v>7158576.86480908</v>
      </c>
    </row>
    <row r="4" spans="18:20" x14ac:dyDescent="0.25">
      <c r="R4" s="4" t="s">
        <v>7</v>
      </c>
      <c r="S4">
        <f>'Data Age'!B34</f>
        <v>251767.86734693899</v>
      </c>
      <c r="T4">
        <f>'Data Age'!C34</f>
        <v>7283348.5381837003</v>
      </c>
    </row>
    <row r="5" spans="18:20" x14ac:dyDescent="0.25">
      <c r="R5" s="2" t="s">
        <v>8</v>
      </c>
      <c r="S5">
        <f>'Data Age'!B35</f>
        <v>930749.59183673502</v>
      </c>
      <c r="T5">
        <f>'Data Age'!C35</f>
        <v>13293420.5103199</v>
      </c>
    </row>
    <row r="6" spans="18:20" x14ac:dyDescent="0.25">
      <c r="R6" s="4" t="s">
        <v>9</v>
      </c>
      <c r="S6">
        <f>'Data Age'!B36</f>
        <v>747528.39285714296</v>
      </c>
      <c r="T6">
        <f>'Data Age'!C36</f>
        <v>10629096.003612</v>
      </c>
    </row>
    <row r="7" spans="18:20" x14ac:dyDescent="0.25">
      <c r="R7" s="4" t="s">
        <v>10</v>
      </c>
      <c r="S7">
        <f>'Data Age'!B37</f>
        <v>804867.39285714296</v>
      </c>
      <c r="T7">
        <f>'Data Age'!C37</f>
        <v>10388179.884416901</v>
      </c>
    </row>
    <row r="8" spans="18:20" x14ac:dyDescent="0.25">
      <c r="R8" s="4" t="s">
        <v>11</v>
      </c>
      <c r="S8">
        <f>'Data Age'!B38</f>
        <v>986531.36224489799</v>
      </c>
      <c r="T8">
        <f>'Data Age'!C38</f>
        <v>12103682.5753354</v>
      </c>
    </row>
    <row r="9" spans="18:20" x14ac:dyDescent="0.25">
      <c r="R9" s="2" t="s">
        <v>12</v>
      </c>
      <c r="S9">
        <f>'Data Age'!B39</f>
        <v>1187513.5255102001</v>
      </c>
      <c r="T9">
        <f>'Data Age'!C39</f>
        <v>10948988.293601699</v>
      </c>
    </row>
    <row r="10" spans="18:20" x14ac:dyDescent="0.25">
      <c r="R10" s="4" t="s">
        <v>13</v>
      </c>
      <c r="S10">
        <f>'Data Age'!B40</f>
        <v>917953.04081632697</v>
      </c>
      <c r="T10">
        <f>'Data Age'!C40</f>
        <v>11101313.523735801</v>
      </c>
    </row>
    <row r="17" spans="18:20" x14ac:dyDescent="0.25">
      <c r="R17" t="s">
        <v>20</v>
      </c>
      <c r="S17">
        <v>1000</v>
      </c>
      <c r="T17">
        <v>2000</v>
      </c>
    </row>
    <row r="18" spans="18:20" x14ac:dyDescent="0.25">
      <c r="R18" s="4" t="s">
        <v>6</v>
      </c>
      <c r="S18">
        <f>S3/S3</f>
        <v>1</v>
      </c>
      <c r="T18">
        <f>T3/T3</f>
        <v>1</v>
      </c>
    </row>
    <row r="19" spans="18:20" x14ac:dyDescent="0.25">
      <c r="R19" s="4" t="s">
        <v>7</v>
      </c>
      <c r="S19">
        <f>S4/S3</f>
        <v>0.80225955064622734</v>
      </c>
      <c r="T19">
        <f>T4/T3</f>
        <v>1.0174296757206012</v>
      </c>
    </row>
    <row r="20" spans="18:20" x14ac:dyDescent="0.25">
      <c r="R20" s="2" t="s">
        <v>8</v>
      </c>
      <c r="S20">
        <f>S5/S3</f>
        <v>2.9658381634624313</v>
      </c>
      <c r="T20">
        <f>T5/T3</f>
        <v>1.856992075571495</v>
      </c>
    </row>
    <row r="21" spans="18:20" x14ac:dyDescent="0.25">
      <c r="R21" s="4" t="s">
        <v>9</v>
      </c>
      <c r="S21">
        <f>S6/S3</f>
        <v>2.3820029095391204</v>
      </c>
      <c r="T21">
        <f>T6/T3</f>
        <v>1.4848057378364798</v>
      </c>
    </row>
    <row r="22" spans="18:20" x14ac:dyDescent="0.25">
      <c r="R22" s="4" t="s">
        <v>10</v>
      </c>
      <c r="S22">
        <f>S7/S3</f>
        <v>2.5647139157499108</v>
      </c>
      <c r="T22">
        <f>T7/T3</f>
        <v>1.4511515459845459</v>
      </c>
    </row>
    <row r="23" spans="18:20" x14ac:dyDescent="0.25">
      <c r="R23" s="4" t="s">
        <v>11</v>
      </c>
      <c r="S23">
        <f>S8/S3</f>
        <v>3.1435870499008893</v>
      </c>
      <c r="T23">
        <f>T8/T3</f>
        <v>1.6907945257717376</v>
      </c>
    </row>
    <row r="24" spans="18:20" x14ac:dyDescent="0.25">
      <c r="R24" s="2" t="s">
        <v>12</v>
      </c>
      <c r="S24">
        <f>S9/S3</f>
        <v>3.7840177040913132</v>
      </c>
      <c r="T24">
        <f>T9/T3</f>
        <v>1.529492313957812</v>
      </c>
    </row>
    <row r="25" spans="18:20" x14ac:dyDescent="0.25">
      <c r="R25" s="4" t="s">
        <v>13</v>
      </c>
      <c r="S25">
        <f>S10/S3</f>
        <v>2.9250618905423162</v>
      </c>
      <c r="T25">
        <f>T10/T3</f>
        <v>1.550771016835603</v>
      </c>
    </row>
    <row r="36" spans="18:20" x14ac:dyDescent="0.25">
      <c r="R36" t="s">
        <v>21</v>
      </c>
      <c r="S36">
        <v>1000</v>
      </c>
      <c r="T36">
        <v>2000</v>
      </c>
    </row>
    <row r="37" spans="18:20" x14ac:dyDescent="0.25">
      <c r="R37" s="4" t="s">
        <v>6</v>
      </c>
      <c r="S37">
        <f>Energy!B33</f>
        <v>1088779087.5262001</v>
      </c>
      <c r="T37">
        <f>Energy!C33</f>
        <v>9395306252.0833397</v>
      </c>
    </row>
    <row r="38" spans="18:20" x14ac:dyDescent="0.25">
      <c r="R38" s="4" t="s">
        <v>7</v>
      </c>
      <c r="S38">
        <f>Energy!B34</f>
        <v>1194173816.6666701</v>
      </c>
      <c r="T38">
        <f>Energy!C34</f>
        <v>8250905417.0833397</v>
      </c>
    </row>
    <row r="39" spans="18:20" x14ac:dyDescent="0.25">
      <c r="R39" s="2" t="s">
        <v>8</v>
      </c>
      <c r="S39">
        <f>Energy!B35</f>
        <v>2445648885</v>
      </c>
      <c r="T39">
        <f>Energy!C35</f>
        <v>13661620571.6667</v>
      </c>
    </row>
    <row r="40" spans="18:20" x14ac:dyDescent="0.25">
      <c r="R40" s="4" t="s">
        <v>9</v>
      </c>
      <c r="S40">
        <f>Energy!B36</f>
        <v>1633971632.9166701</v>
      </c>
      <c r="T40">
        <f>Energy!C36</f>
        <v>12067049995.4167</v>
      </c>
    </row>
    <row r="41" spans="18:20" x14ac:dyDescent="0.25">
      <c r="R41" s="4" t="s">
        <v>10</v>
      </c>
      <c r="S41">
        <f>Energy!B37</f>
        <v>1554170910</v>
      </c>
      <c r="T41">
        <f>Energy!C37</f>
        <v>10799505420.4167</v>
      </c>
    </row>
    <row r="42" spans="18:20" x14ac:dyDescent="0.25">
      <c r="R42" s="4" t="s">
        <v>11</v>
      </c>
      <c r="S42">
        <f>Energy!B38</f>
        <v>2036811200.8333299</v>
      </c>
      <c r="T42">
        <f>Energy!C38</f>
        <v>12160650962.5</v>
      </c>
    </row>
    <row r="43" spans="18:20" x14ac:dyDescent="0.25">
      <c r="R43" s="2" t="s">
        <v>12</v>
      </c>
      <c r="S43">
        <f>Energy!B39</f>
        <v>1766371237.0833299</v>
      </c>
      <c r="T43">
        <f>Energy!C39</f>
        <v>11756410416.25</v>
      </c>
    </row>
    <row r="44" spans="18:20" x14ac:dyDescent="0.25">
      <c r="R44" s="4" t="s">
        <v>13</v>
      </c>
      <c r="S44">
        <f>Energy!B40</f>
        <v>2040643041.6666701</v>
      </c>
      <c r="T44">
        <f>Energy!C40</f>
        <v>11107014298.75</v>
      </c>
    </row>
    <row r="51" spans="18:20" x14ac:dyDescent="0.25">
      <c r="R51" t="s">
        <v>21</v>
      </c>
      <c r="S51">
        <v>1000</v>
      </c>
      <c r="T51">
        <v>2000</v>
      </c>
    </row>
    <row r="52" spans="18:20" x14ac:dyDescent="0.25">
      <c r="R52" s="4" t="s">
        <v>6</v>
      </c>
      <c r="S52">
        <f>S37/S37</f>
        <v>1</v>
      </c>
      <c r="T52">
        <f>T37/T37</f>
        <v>1</v>
      </c>
    </row>
    <row r="53" spans="18:20" x14ac:dyDescent="0.25">
      <c r="R53" s="4" t="s">
        <v>7</v>
      </c>
      <c r="S53">
        <f>S38/S37</f>
        <v>1.0968008389837243</v>
      </c>
      <c r="T53">
        <f>T38/T37</f>
        <v>0.87819440853817432</v>
      </c>
    </row>
    <row r="54" spans="18:20" x14ac:dyDescent="0.25">
      <c r="R54" s="2" t="s">
        <v>8</v>
      </c>
      <c r="S54">
        <f>S39/S37</f>
        <v>2.2462305834296701</v>
      </c>
      <c r="T54">
        <f>T39/T37</f>
        <v>1.454089968449654</v>
      </c>
    </row>
    <row r="55" spans="18:20" x14ac:dyDescent="0.25">
      <c r="R55" s="4" t="s">
        <v>9</v>
      </c>
      <c r="S55">
        <f>S40/S37</f>
        <v>1.5007375248446353</v>
      </c>
      <c r="T55">
        <f>T40/T37</f>
        <v>1.2843700536894069</v>
      </c>
    </row>
    <row r="56" spans="18:20" x14ac:dyDescent="0.25">
      <c r="R56" s="4" t="s">
        <v>10</v>
      </c>
      <c r="S56">
        <f>S41/S37</f>
        <v>1.4274437558597954</v>
      </c>
      <c r="T56">
        <f>T41/T37</f>
        <v>1.1494575196015553</v>
      </c>
    </row>
    <row r="57" spans="18:20" x14ac:dyDescent="0.25">
      <c r="R57" s="4" t="s">
        <v>11</v>
      </c>
      <c r="S57">
        <f>S42/S37</f>
        <v>1.8707295393238499</v>
      </c>
      <c r="T57">
        <f>T42/T37</f>
        <v>1.2943325780150556</v>
      </c>
    </row>
    <row r="58" spans="18:20" x14ac:dyDescent="0.25">
      <c r="R58" s="2" t="s">
        <v>12</v>
      </c>
      <c r="S58">
        <f>S43/S37</f>
        <v>1.6223412603347092</v>
      </c>
      <c r="T58">
        <f>T43/T37</f>
        <v>1.2513067803024625</v>
      </c>
    </row>
    <row r="59" spans="18:20" x14ac:dyDescent="0.25">
      <c r="R59" s="4" t="s">
        <v>13</v>
      </c>
      <c r="S59">
        <f>S44/S37</f>
        <v>1.874248931712297</v>
      </c>
      <c r="T59">
        <f>T44/T37</f>
        <v>1.1821875733201461</v>
      </c>
    </row>
    <row r="67" spans="18:20" x14ac:dyDescent="0.25">
      <c r="R67" t="s">
        <v>22</v>
      </c>
      <c r="S67">
        <v>1000</v>
      </c>
      <c r="T67">
        <v>2000</v>
      </c>
    </row>
    <row r="68" spans="18:20" x14ac:dyDescent="0.25">
      <c r="R68" s="4" t="s">
        <v>6</v>
      </c>
      <c r="S68">
        <f>Makespan!B33</f>
        <v>5168349.5</v>
      </c>
      <c r="T68">
        <f>Makespan!C33</f>
        <v>34719095.5</v>
      </c>
    </row>
    <row r="69" spans="18:20" x14ac:dyDescent="0.25">
      <c r="R69" s="4" t="s">
        <v>7</v>
      </c>
      <c r="S69">
        <f>Makespan!B34</f>
        <v>5054557.5</v>
      </c>
      <c r="T69">
        <f>Makespan!C34</f>
        <v>29759761</v>
      </c>
    </row>
    <row r="70" spans="18:20" x14ac:dyDescent="0.25">
      <c r="R70" s="2" t="s">
        <v>8</v>
      </c>
      <c r="S70">
        <f>Makespan!B35</f>
        <v>9993650</v>
      </c>
      <c r="T70">
        <f>Makespan!C35</f>
        <v>53170016</v>
      </c>
    </row>
    <row r="71" spans="18:20" x14ac:dyDescent="0.25">
      <c r="R71" s="4" t="s">
        <v>9</v>
      </c>
      <c r="S71">
        <f>Makespan!B36</f>
        <v>6800770</v>
      </c>
      <c r="T71">
        <f>Makespan!C36</f>
        <v>45688922</v>
      </c>
    </row>
    <row r="72" spans="18:20" x14ac:dyDescent="0.25">
      <c r="R72" s="4" t="s">
        <v>10</v>
      </c>
      <c r="S72">
        <f>Makespan!B37</f>
        <v>6021083.5</v>
      </c>
      <c r="T72">
        <f>Makespan!C37</f>
        <v>41004353</v>
      </c>
    </row>
    <row r="73" spans="18:20" x14ac:dyDescent="0.25">
      <c r="R73" s="4" t="s">
        <v>11</v>
      </c>
      <c r="S73">
        <f>Makespan!B38</f>
        <v>8295357.5</v>
      </c>
      <c r="T73">
        <f>Makespan!C38</f>
        <v>46628881.5</v>
      </c>
    </row>
    <row r="74" spans="18:20" x14ac:dyDescent="0.25">
      <c r="R74" s="2" t="s">
        <v>12</v>
      </c>
      <c r="S74">
        <f>Makespan!B39</f>
        <v>6966618</v>
      </c>
      <c r="T74">
        <f>Makespan!C39</f>
        <v>44268262</v>
      </c>
    </row>
    <row r="75" spans="18:20" x14ac:dyDescent="0.25">
      <c r="R75" s="4" t="s">
        <v>13</v>
      </c>
      <c r="S75">
        <f>Makespan!B40</f>
        <v>8300462.5</v>
      </c>
      <c r="T75">
        <f>Makespan!C40</f>
        <v>42692492.5</v>
      </c>
    </row>
    <row r="82" spans="18:20" x14ac:dyDescent="0.25">
      <c r="R82" t="s">
        <v>22</v>
      </c>
      <c r="S82">
        <v>1000</v>
      </c>
      <c r="T82">
        <v>2000</v>
      </c>
    </row>
    <row r="83" spans="18:20" x14ac:dyDescent="0.25">
      <c r="R83" s="4" t="s">
        <v>6</v>
      </c>
      <c r="S83">
        <f>S68/S68</f>
        <v>1</v>
      </c>
      <c r="T83">
        <f>T68/T68</f>
        <v>1</v>
      </c>
    </row>
    <row r="84" spans="18:20" x14ac:dyDescent="0.25">
      <c r="R84" s="4" t="s">
        <v>7</v>
      </c>
      <c r="S84">
        <f>S69/S68</f>
        <v>0.9779829131137513</v>
      </c>
      <c r="T84">
        <f>T69/T68</f>
        <v>0.85715830356237244</v>
      </c>
    </row>
    <row r="85" spans="18:20" x14ac:dyDescent="0.25">
      <c r="R85" s="2" t="s">
        <v>8</v>
      </c>
      <c r="S85">
        <f>S70/S68</f>
        <v>1.9336250383221956</v>
      </c>
      <c r="T85">
        <f>T70/T68</f>
        <v>1.5314343658520713</v>
      </c>
    </row>
    <row r="86" spans="18:20" x14ac:dyDescent="0.25">
      <c r="R86" s="4" t="s">
        <v>9</v>
      </c>
      <c r="S86">
        <f>S71/S68</f>
        <v>1.315849479606594</v>
      </c>
      <c r="T86">
        <f>T71/T68</f>
        <v>1.3159594552225591</v>
      </c>
    </row>
    <row r="87" spans="18:20" x14ac:dyDescent="0.25">
      <c r="R87" s="4" t="s">
        <v>10</v>
      </c>
      <c r="S87">
        <f>S72/S68</f>
        <v>1.1649915509777347</v>
      </c>
      <c r="T87">
        <f>T72/T68</f>
        <v>1.1810317178337781</v>
      </c>
    </row>
    <row r="88" spans="18:20" x14ac:dyDescent="0.25">
      <c r="R88" s="4" t="s">
        <v>11</v>
      </c>
      <c r="S88">
        <f>S73/S68</f>
        <v>1.6050302906179237</v>
      </c>
      <c r="T88">
        <f>T73/T68</f>
        <v>1.3430327267598317</v>
      </c>
    </row>
    <row r="89" spans="18:20" x14ac:dyDescent="0.25">
      <c r="R89" s="2" t="s">
        <v>12</v>
      </c>
      <c r="S89">
        <f>S74/S68</f>
        <v>1.347938640759492</v>
      </c>
      <c r="T89">
        <f>T74/T68</f>
        <v>1.2750407625106477</v>
      </c>
    </row>
    <row r="90" spans="18:20" x14ac:dyDescent="0.25">
      <c r="R90" s="4" t="s">
        <v>13</v>
      </c>
      <c r="S90">
        <f>S75/S68</f>
        <v>1.6060180334166643</v>
      </c>
      <c r="T90">
        <f>T75/T68</f>
        <v>1.2296545138971147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9"/>
  <sheetViews>
    <sheetView topLeftCell="A18" zoomScaleNormal="100" workbookViewId="0"/>
  </sheetViews>
  <sheetFormatPr defaultColWidth="8.5703125" defaultRowHeight="15" x14ac:dyDescent="0.25"/>
  <cols>
    <col min="1" max="1" width="24" customWidth="1"/>
    <col min="2" max="52" width="20" customWidth="1"/>
    <col min="53" max="53" width="19" customWidth="1"/>
    <col min="54" max="54" width="20" customWidth="1"/>
    <col min="55" max="55" width="19" customWidth="1"/>
    <col min="56" max="57" width="20" customWidth="1"/>
    <col min="58" max="58" width="19" customWidth="1"/>
    <col min="59" max="59" width="20" customWidth="1"/>
    <col min="60" max="60" width="19" customWidth="1"/>
    <col min="61" max="61" width="20" customWidth="1"/>
  </cols>
  <sheetData>
    <row r="1" spans="1:6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</v>
      </c>
      <c r="C2">
        <v>313823.45918367401</v>
      </c>
      <c r="D2">
        <v>280252.43877551</v>
      </c>
      <c r="E2">
        <v>347394.47959183698</v>
      </c>
      <c r="F2">
        <v>33571.020408163298</v>
      </c>
    </row>
    <row r="3" spans="1:6" x14ac:dyDescent="0.25">
      <c r="A3" t="s">
        <v>6</v>
      </c>
      <c r="B3">
        <v>2</v>
      </c>
      <c r="C3">
        <v>7158576.86480908</v>
      </c>
      <c r="D3">
        <v>6755972.8090815302</v>
      </c>
      <c r="E3">
        <v>7561180.9205366401</v>
      </c>
      <c r="F3">
        <v>402604.05572755402</v>
      </c>
    </row>
    <row r="4" spans="1:6" x14ac:dyDescent="0.25">
      <c r="A4" t="s">
        <v>7</v>
      </c>
      <c r="B4">
        <v>1</v>
      </c>
      <c r="C4">
        <v>251767.86734693899</v>
      </c>
      <c r="D4">
        <v>216677.10204081601</v>
      </c>
      <c r="E4">
        <v>286858.63265306101</v>
      </c>
      <c r="F4">
        <v>35090.765306122499</v>
      </c>
    </row>
    <row r="5" spans="1:6" x14ac:dyDescent="0.25">
      <c r="A5" t="s">
        <v>7</v>
      </c>
      <c r="B5">
        <v>2</v>
      </c>
      <c r="C5">
        <v>7283348.5381837003</v>
      </c>
      <c r="D5">
        <v>7245273.3560371501</v>
      </c>
      <c r="E5">
        <v>7321423.7203302402</v>
      </c>
      <c r="F5">
        <v>38075.182146542698</v>
      </c>
    </row>
    <row r="6" spans="1:6" x14ac:dyDescent="0.25">
      <c r="A6" t="s">
        <v>8</v>
      </c>
      <c r="B6">
        <v>1</v>
      </c>
      <c r="C6">
        <v>930749.59183673502</v>
      </c>
      <c r="D6">
        <v>930749.20408163301</v>
      </c>
      <c r="E6">
        <v>930749.97959183704</v>
      </c>
      <c r="F6">
        <v>0.38775510201230701</v>
      </c>
    </row>
    <row r="7" spans="1:6" x14ac:dyDescent="0.25">
      <c r="A7" t="s">
        <v>8</v>
      </c>
      <c r="B7">
        <v>2</v>
      </c>
      <c r="C7">
        <v>13293420.5103199</v>
      </c>
      <c r="D7">
        <v>13293419.5448916</v>
      </c>
      <c r="E7">
        <v>13293421.4757482</v>
      </c>
      <c r="F7">
        <v>0.96542827691882904</v>
      </c>
    </row>
    <row r="8" spans="1:6" x14ac:dyDescent="0.25">
      <c r="A8" t="s">
        <v>9</v>
      </c>
      <c r="B8">
        <v>1</v>
      </c>
      <c r="C8">
        <v>747528.39285714296</v>
      </c>
      <c r="D8">
        <v>564284.73469387798</v>
      </c>
      <c r="E8">
        <v>930772.05102040805</v>
      </c>
      <c r="F8">
        <v>183243.658163265</v>
      </c>
    </row>
    <row r="9" spans="1:6" x14ac:dyDescent="0.25">
      <c r="A9" t="s">
        <v>9</v>
      </c>
      <c r="B9">
        <v>2</v>
      </c>
      <c r="C9">
        <v>10629096.003612</v>
      </c>
      <c r="D9">
        <v>9925889.08875129</v>
      </c>
      <c r="E9">
        <v>11332302.9184727</v>
      </c>
      <c r="F9">
        <v>703206.91486068105</v>
      </c>
    </row>
    <row r="10" spans="1:6" x14ac:dyDescent="0.25">
      <c r="A10" t="s">
        <v>10</v>
      </c>
      <c r="B10">
        <v>1</v>
      </c>
      <c r="C10">
        <v>804867.39285714296</v>
      </c>
      <c r="D10">
        <v>775761.96938775503</v>
      </c>
      <c r="E10">
        <v>833972.816326531</v>
      </c>
      <c r="F10">
        <v>29105.423469387799</v>
      </c>
    </row>
    <row r="11" spans="1:6" x14ac:dyDescent="0.25">
      <c r="A11" t="s">
        <v>10</v>
      </c>
      <c r="B11">
        <v>2</v>
      </c>
      <c r="C11">
        <v>10388179.884416901</v>
      </c>
      <c r="D11">
        <v>10307431.754386</v>
      </c>
      <c r="E11">
        <v>10468928.0144479</v>
      </c>
      <c r="F11">
        <v>80748.130030959801</v>
      </c>
    </row>
    <row r="12" spans="1:6" ht="15" customHeight="1" x14ac:dyDescent="0.25">
      <c r="A12" s="2" t="s">
        <v>11</v>
      </c>
      <c r="B12">
        <v>1</v>
      </c>
      <c r="C12">
        <v>986531.36224489799</v>
      </c>
      <c r="D12">
        <v>952781.47959183704</v>
      </c>
      <c r="E12">
        <v>1020281.24489796</v>
      </c>
      <c r="F12">
        <v>33749.882653061199</v>
      </c>
    </row>
    <row r="13" spans="1:6" x14ac:dyDescent="0.25">
      <c r="A13" t="s">
        <v>11</v>
      </c>
      <c r="B13">
        <v>2</v>
      </c>
      <c r="C13">
        <v>12103682.5753354</v>
      </c>
      <c r="D13">
        <v>10227668.4045408</v>
      </c>
      <c r="E13">
        <v>13979696.746130001</v>
      </c>
      <c r="F13">
        <v>1876014.17079463</v>
      </c>
    </row>
    <row r="14" spans="1:6" x14ac:dyDescent="0.25">
      <c r="A14" t="s">
        <v>12</v>
      </c>
      <c r="B14">
        <v>1</v>
      </c>
      <c r="C14">
        <v>1187513.5255102001</v>
      </c>
      <c r="D14">
        <v>1079711.42857143</v>
      </c>
      <c r="E14">
        <v>1295315.6224489801</v>
      </c>
      <c r="F14">
        <v>107802.096938776</v>
      </c>
    </row>
    <row r="15" spans="1:6" x14ac:dyDescent="0.25">
      <c r="A15" t="s">
        <v>12</v>
      </c>
      <c r="B15">
        <v>2</v>
      </c>
      <c r="C15">
        <v>10948988.293601699</v>
      </c>
      <c r="D15">
        <v>10869665.9587203</v>
      </c>
      <c r="E15">
        <v>11028310.628482999</v>
      </c>
      <c r="F15">
        <v>79322.334881320596</v>
      </c>
    </row>
    <row r="16" spans="1:6" x14ac:dyDescent="0.25">
      <c r="A16" t="s">
        <v>13</v>
      </c>
      <c r="B16">
        <v>1</v>
      </c>
      <c r="C16">
        <v>917953.04081632697</v>
      </c>
      <c r="D16">
        <v>681258.44897959195</v>
      </c>
      <c r="E16">
        <v>1154647.6326530599</v>
      </c>
      <c r="F16">
        <v>236694.591836735</v>
      </c>
    </row>
    <row r="17" spans="1:6" x14ac:dyDescent="0.25">
      <c r="A17" t="s">
        <v>13</v>
      </c>
      <c r="B17">
        <v>2</v>
      </c>
      <c r="C17">
        <v>11101313.523735801</v>
      </c>
      <c r="D17">
        <v>9849695.6160990708</v>
      </c>
      <c r="E17">
        <v>12352931.4313726</v>
      </c>
      <c r="F17">
        <v>1251617.90763674</v>
      </c>
    </row>
    <row r="20" spans="1:6" ht="15" customHeight="1" x14ac:dyDescent="0.25">
      <c r="A20" s="2" t="s">
        <v>14</v>
      </c>
    </row>
    <row r="21" spans="1:6" x14ac:dyDescent="0.25">
      <c r="A21" t="s">
        <v>6</v>
      </c>
      <c r="C21">
        <v>3736200.16199638</v>
      </c>
      <c r="D21">
        <v>280252.43877551</v>
      </c>
      <c r="E21">
        <v>7561180.9205366401</v>
      </c>
      <c r="F21">
        <v>3434278.7911736201</v>
      </c>
    </row>
    <row r="22" spans="1:6" x14ac:dyDescent="0.25">
      <c r="A22" t="s">
        <v>7</v>
      </c>
      <c r="C22">
        <v>3767558.20276532</v>
      </c>
      <c r="D22">
        <v>216677.10204081601</v>
      </c>
      <c r="E22">
        <v>7321423.7203302402</v>
      </c>
      <c r="F22">
        <v>3515980.9759544898</v>
      </c>
    </row>
    <row r="23" spans="1:6" ht="15" customHeight="1" x14ac:dyDescent="0.25">
      <c r="A23" s="2" t="s">
        <v>8</v>
      </c>
      <c r="C23">
        <v>7112085.0510783298</v>
      </c>
      <c r="D23">
        <v>930749.20408163301</v>
      </c>
      <c r="E23">
        <v>13293421.4757482</v>
      </c>
      <c r="F23">
        <v>6181335.4592416398</v>
      </c>
    </row>
    <row r="24" spans="1:6" x14ac:dyDescent="0.25">
      <c r="A24" t="s">
        <v>9</v>
      </c>
      <c r="C24">
        <v>5688312.19823456</v>
      </c>
      <c r="D24">
        <v>564284.73469387798</v>
      </c>
      <c r="E24">
        <v>11332302.9184727</v>
      </c>
      <c r="F24">
        <v>4967432.3058459703</v>
      </c>
    </row>
    <row r="25" spans="1:6" x14ac:dyDescent="0.25">
      <c r="A25" t="s">
        <v>10</v>
      </c>
      <c r="C25">
        <v>5596523.6386370296</v>
      </c>
      <c r="D25">
        <v>775761.96938775503</v>
      </c>
      <c r="E25">
        <v>10468928.0144479</v>
      </c>
      <c r="F25">
        <v>4792040.6165652303</v>
      </c>
    </row>
    <row r="26" spans="1:6" x14ac:dyDescent="0.25">
      <c r="A26" t="s">
        <v>11</v>
      </c>
      <c r="C26">
        <v>6545106.9687901502</v>
      </c>
      <c r="D26">
        <v>952781.47959183704</v>
      </c>
      <c r="E26">
        <v>13979696.746130001</v>
      </c>
      <c r="F26">
        <v>5714721.9429715602</v>
      </c>
    </row>
    <row r="27" spans="1:6" x14ac:dyDescent="0.25">
      <c r="A27" t="s">
        <v>12</v>
      </c>
      <c r="C27">
        <v>6068250.9095559297</v>
      </c>
      <c r="D27">
        <v>1079711.42857143</v>
      </c>
      <c r="E27">
        <v>11028310.628482999</v>
      </c>
      <c r="F27">
        <v>4881654.84999495</v>
      </c>
    </row>
    <row r="28" spans="1:6" ht="15" customHeight="1" x14ac:dyDescent="0.25">
      <c r="A28" s="2" t="s">
        <v>13</v>
      </c>
      <c r="C28">
        <v>6009633.2822760697</v>
      </c>
      <c r="D28">
        <v>681258.44897959195</v>
      </c>
      <c r="E28">
        <v>12352931.4313726</v>
      </c>
      <c r="F28">
        <v>5170734.3327164296</v>
      </c>
    </row>
    <row r="31" spans="1:6" ht="15" customHeight="1" x14ac:dyDescent="0.25">
      <c r="A31" s="2" t="s">
        <v>15</v>
      </c>
    </row>
    <row r="32" spans="1:6" x14ac:dyDescent="0.25">
      <c r="A32" t="s">
        <v>16</v>
      </c>
      <c r="B32">
        <v>1</v>
      </c>
      <c r="C32">
        <v>2</v>
      </c>
    </row>
    <row r="33" spans="1:5" x14ac:dyDescent="0.25">
      <c r="A33" t="s">
        <v>6</v>
      </c>
      <c r="B33">
        <v>313823.45918367401</v>
      </c>
      <c r="C33">
        <v>7158576.86480908</v>
      </c>
    </row>
    <row r="34" spans="1:5" x14ac:dyDescent="0.25">
      <c r="A34" t="s">
        <v>7</v>
      </c>
      <c r="B34">
        <v>251767.86734693899</v>
      </c>
      <c r="C34">
        <v>7283348.5381837003</v>
      </c>
    </row>
    <row r="35" spans="1:5" ht="15" customHeight="1" x14ac:dyDescent="0.25">
      <c r="A35" s="2" t="s">
        <v>8</v>
      </c>
      <c r="B35">
        <v>930749.59183673502</v>
      </c>
      <c r="C35">
        <v>13293420.5103199</v>
      </c>
    </row>
    <row r="36" spans="1:5" ht="15" customHeight="1" x14ac:dyDescent="0.25">
      <c r="A36" s="2" t="s">
        <v>9</v>
      </c>
      <c r="B36">
        <v>747528.39285714296</v>
      </c>
      <c r="C36">
        <v>10629096.003612</v>
      </c>
    </row>
    <row r="37" spans="1:5" x14ac:dyDescent="0.25">
      <c r="A37" t="s">
        <v>10</v>
      </c>
      <c r="B37">
        <v>804867.39285714296</v>
      </c>
      <c r="C37">
        <v>10388179.884416901</v>
      </c>
    </row>
    <row r="38" spans="1:5" x14ac:dyDescent="0.25">
      <c r="A38" t="s">
        <v>11</v>
      </c>
      <c r="B38">
        <v>986531.36224489799</v>
      </c>
      <c r="C38">
        <v>12103682.5753354</v>
      </c>
    </row>
    <row r="39" spans="1:5" ht="15" customHeight="1" x14ac:dyDescent="0.25">
      <c r="A39" s="2" t="s">
        <v>12</v>
      </c>
      <c r="B39">
        <v>1187513.5255102001</v>
      </c>
      <c r="C39">
        <v>10948988.293601699</v>
      </c>
    </row>
    <row r="40" spans="1:5" x14ac:dyDescent="0.25">
      <c r="A40" t="s">
        <v>13</v>
      </c>
      <c r="B40">
        <v>917953.04081632697</v>
      </c>
      <c r="C40">
        <v>11101313.523735801</v>
      </c>
    </row>
    <row r="43" spans="1:5" ht="15" customHeight="1" x14ac:dyDescent="0.25">
      <c r="A43" s="2" t="s">
        <v>17</v>
      </c>
    </row>
    <row r="44" spans="1:5" x14ac:dyDescent="0.25">
      <c r="A44" t="s">
        <v>16</v>
      </c>
      <c r="B44">
        <v>1</v>
      </c>
      <c r="C44">
        <v>1</v>
      </c>
      <c r="D44">
        <v>2</v>
      </c>
      <c r="E44">
        <v>2</v>
      </c>
    </row>
    <row r="45" spans="1:5" x14ac:dyDescent="0.25">
      <c r="A45" t="s">
        <v>6</v>
      </c>
      <c r="B45">
        <v>347394.47959183698</v>
      </c>
      <c r="C45">
        <v>280252.43877551</v>
      </c>
      <c r="D45">
        <v>7561180.9205366401</v>
      </c>
      <c r="E45">
        <v>6755972.8090815302</v>
      </c>
    </row>
    <row r="46" spans="1:5" x14ac:dyDescent="0.25">
      <c r="A46" t="s">
        <v>7</v>
      </c>
      <c r="B46">
        <v>286858.63265306101</v>
      </c>
      <c r="C46">
        <v>216677.10204081601</v>
      </c>
      <c r="D46">
        <v>7321423.7203302402</v>
      </c>
      <c r="E46">
        <v>7245273.3560371501</v>
      </c>
    </row>
    <row r="47" spans="1:5" ht="15" customHeight="1" x14ac:dyDescent="0.25">
      <c r="A47" s="2" t="s">
        <v>8</v>
      </c>
      <c r="B47">
        <v>930749.97959183704</v>
      </c>
      <c r="C47">
        <v>930749.20408163301</v>
      </c>
      <c r="D47">
        <v>13293421.4757482</v>
      </c>
      <c r="E47">
        <v>13293419.5448916</v>
      </c>
    </row>
    <row r="48" spans="1:5" x14ac:dyDescent="0.25">
      <c r="A48" t="s">
        <v>9</v>
      </c>
      <c r="B48">
        <v>930772.05102040805</v>
      </c>
      <c r="C48">
        <v>564284.73469387798</v>
      </c>
      <c r="D48">
        <v>9925889.08875129</v>
      </c>
      <c r="E48">
        <v>11332302.9184727</v>
      </c>
    </row>
    <row r="49" spans="1:5" x14ac:dyDescent="0.25">
      <c r="A49" t="s">
        <v>10</v>
      </c>
      <c r="B49">
        <v>833972.816326531</v>
      </c>
      <c r="C49">
        <v>775761.96938775503</v>
      </c>
      <c r="D49">
        <v>10468928.0144479</v>
      </c>
      <c r="E49">
        <v>10307431.754386</v>
      </c>
    </row>
    <row r="50" spans="1:5" x14ac:dyDescent="0.25">
      <c r="A50" t="s">
        <v>11</v>
      </c>
      <c r="B50">
        <v>1020281.24489796</v>
      </c>
      <c r="C50">
        <v>952781.47959183704</v>
      </c>
      <c r="D50">
        <v>13979696.746130001</v>
      </c>
      <c r="E50">
        <v>10227668.4045408</v>
      </c>
    </row>
    <row r="51" spans="1:5" ht="15" customHeight="1" x14ac:dyDescent="0.25">
      <c r="A51" s="2" t="s">
        <v>12</v>
      </c>
      <c r="B51">
        <v>1295315.6224489801</v>
      </c>
      <c r="C51">
        <v>1079711.42857143</v>
      </c>
      <c r="D51">
        <v>11028310.628482999</v>
      </c>
      <c r="E51">
        <v>10869665.9587203</v>
      </c>
    </row>
    <row r="52" spans="1:5" x14ac:dyDescent="0.25">
      <c r="A52" t="s">
        <v>13</v>
      </c>
      <c r="B52">
        <v>1154647.6326530599</v>
      </c>
      <c r="C52">
        <v>681258.44897959195</v>
      </c>
      <c r="D52">
        <v>12352931.4313726</v>
      </c>
      <c r="E52">
        <v>9849695.6160990708</v>
      </c>
    </row>
    <row r="59" spans="1:5" ht="15" customHeight="1" x14ac:dyDescent="0.25">
      <c r="A59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zoomScaleNormal="100" workbookViewId="0">
      <selection activeCell="F2" sqref="F2"/>
    </sheetView>
  </sheetViews>
  <sheetFormatPr defaultColWidth="8.5703125" defaultRowHeight="15" x14ac:dyDescent="0.25"/>
  <cols>
    <col min="1" max="1" width="24" customWidth="1"/>
    <col min="2" max="61" width="20" customWidth="1"/>
  </cols>
  <sheetData>
    <row r="1" spans="1:6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</v>
      </c>
      <c r="C2">
        <v>1088779087.5262001</v>
      </c>
      <c r="D2">
        <v>1048669548.28781</v>
      </c>
      <c r="E2">
        <v>1128888626.76458</v>
      </c>
      <c r="F2">
        <v>40109539.238385402</v>
      </c>
    </row>
    <row r="3" spans="1:6" x14ac:dyDescent="0.25">
      <c r="A3" t="s">
        <v>6</v>
      </c>
      <c r="B3">
        <v>2</v>
      </c>
      <c r="C3">
        <v>9395306252.0833397</v>
      </c>
      <c r="D3">
        <v>8387630434.1666698</v>
      </c>
      <c r="E3">
        <v>10402982070</v>
      </c>
      <c r="F3">
        <v>1007675817.91667</v>
      </c>
    </row>
    <row r="4" spans="1:6" x14ac:dyDescent="0.25">
      <c r="A4" t="s">
        <v>7</v>
      </c>
      <c r="B4">
        <v>1</v>
      </c>
      <c r="C4">
        <v>1194173816.6666701</v>
      </c>
      <c r="D4">
        <v>1161595038.3333299</v>
      </c>
      <c r="E4">
        <v>1226752595</v>
      </c>
      <c r="F4">
        <v>32578778.333333399</v>
      </c>
    </row>
    <row r="5" spans="1:6" x14ac:dyDescent="0.25">
      <c r="A5" t="s">
        <v>7</v>
      </c>
      <c r="B5">
        <v>2</v>
      </c>
      <c r="C5">
        <v>8250905417.0833397</v>
      </c>
      <c r="D5">
        <v>7945609446.6666698</v>
      </c>
      <c r="E5">
        <v>8556201387.5</v>
      </c>
      <c r="F5">
        <v>305295970.41666698</v>
      </c>
    </row>
    <row r="6" spans="1:6" x14ac:dyDescent="0.25">
      <c r="A6" t="s">
        <v>8</v>
      </c>
      <c r="B6">
        <v>1</v>
      </c>
      <c r="C6">
        <v>2445648885</v>
      </c>
      <c r="D6">
        <v>2445646520</v>
      </c>
      <c r="E6">
        <v>2445651250</v>
      </c>
      <c r="F6">
        <v>2365</v>
      </c>
    </row>
    <row r="7" spans="1:6" x14ac:dyDescent="0.25">
      <c r="A7" t="s">
        <v>8</v>
      </c>
      <c r="B7">
        <v>2</v>
      </c>
      <c r="C7">
        <v>13661620571.6667</v>
      </c>
      <c r="D7">
        <v>13661619926.6667</v>
      </c>
      <c r="E7">
        <v>13661621216.6667</v>
      </c>
      <c r="F7">
        <v>645</v>
      </c>
    </row>
    <row r="8" spans="1:6" x14ac:dyDescent="0.25">
      <c r="A8" t="s">
        <v>9</v>
      </c>
      <c r="B8">
        <v>1</v>
      </c>
      <c r="C8">
        <v>1633971632.9166701</v>
      </c>
      <c r="D8">
        <v>1275929732.5</v>
      </c>
      <c r="E8">
        <v>1992013533.3333299</v>
      </c>
      <c r="F8">
        <v>358041900.41666698</v>
      </c>
    </row>
    <row r="9" spans="1:6" x14ac:dyDescent="0.25">
      <c r="A9" t="s">
        <v>9</v>
      </c>
      <c r="B9">
        <v>2</v>
      </c>
      <c r="C9">
        <v>12067049995.4167</v>
      </c>
      <c r="D9">
        <v>10833967995</v>
      </c>
      <c r="E9">
        <v>13300131995.8333</v>
      </c>
      <c r="F9">
        <v>1233082000.4166701</v>
      </c>
    </row>
    <row r="10" spans="1:6" x14ac:dyDescent="0.25">
      <c r="A10" t="s">
        <v>10</v>
      </c>
      <c r="B10">
        <v>1</v>
      </c>
      <c r="C10">
        <v>1554170910</v>
      </c>
      <c r="D10">
        <v>1547250452.5</v>
      </c>
      <c r="E10">
        <v>1561091367.5</v>
      </c>
      <c r="F10">
        <v>6920457.5</v>
      </c>
    </row>
    <row r="11" spans="1:6" x14ac:dyDescent="0.25">
      <c r="A11" t="s">
        <v>10</v>
      </c>
      <c r="B11">
        <v>2</v>
      </c>
      <c r="C11">
        <v>10799505420.4167</v>
      </c>
      <c r="D11">
        <v>10727835340</v>
      </c>
      <c r="E11">
        <v>10871175500.8333</v>
      </c>
      <c r="F11">
        <v>71670080.416666999</v>
      </c>
    </row>
    <row r="12" spans="1:6" ht="15" customHeight="1" x14ac:dyDescent="0.25">
      <c r="A12" s="2" t="s">
        <v>11</v>
      </c>
      <c r="B12">
        <v>1</v>
      </c>
      <c r="C12">
        <v>2036811200.8333299</v>
      </c>
      <c r="D12">
        <v>1855323726.6666701</v>
      </c>
      <c r="E12">
        <v>2218298675</v>
      </c>
      <c r="F12">
        <v>181487474.16666701</v>
      </c>
    </row>
    <row r="13" spans="1:6" x14ac:dyDescent="0.25">
      <c r="A13" t="s">
        <v>11</v>
      </c>
      <c r="B13">
        <v>2</v>
      </c>
      <c r="C13">
        <v>12160650962.5</v>
      </c>
      <c r="D13">
        <v>10903198408.3333</v>
      </c>
      <c r="E13">
        <v>13418103516.6667</v>
      </c>
      <c r="F13">
        <v>1257452554.1666701</v>
      </c>
    </row>
    <row r="14" spans="1:6" x14ac:dyDescent="0.25">
      <c r="A14" t="s">
        <v>12</v>
      </c>
      <c r="B14">
        <v>1</v>
      </c>
      <c r="C14">
        <v>1766371237.0833299</v>
      </c>
      <c r="D14">
        <v>1686174393.3333299</v>
      </c>
      <c r="E14">
        <v>1846568080.8333299</v>
      </c>
      <c r="F14">
        <v>80196843.750000104</v>
      </c>
    </row>
    <row r="15" spans="1:6" x14ac:dyDescent="0.25">
      <c r="A15" t="s">
        <v>12</v>
      </c>
      <c r="B15">
        <v>2</v>
      </c>
      <c r="C15">
        <v>11756410416.25</v>
      </c>
      <c r="D15">
        <v>11672231905</v>
      </c>
      <c r="E15">
        <v>11840588927.5</v>
      </c>
      <c r="F15">
        <v>84178511.25</v>
      </c>
    </row>
    <row r="16" spans="1:6" x14ac:dyDescent="0.25">
      <c r="A16" t="s">
        <v>13</v>
      </c>
      <c r="B16">
        <v>1</v>
      </c>
      <c r="C16">
        <v>2040643041.6666701</v>
      </c>
      <c r="D16">
        <v>1772878124.1666701</v>
      </c>
      <c r="E16">
        <v>2308407959.1666698</v>
      </c>
      <c r="F16">
        <v>267764917.5</v>
      </c>
    </row>
    <row r="17" spans="1:6" x14ac:dyDescent="0.25">
      <c r="A17" t="s">
        <v>13</v>
      </c>
      <c r="B17">
        <v>2</v>
      </c>
      <c r="C17">
        <v>11107014298.75</v>
      </c>
      <c r="D17">
        <v>10711050026.6667</v>
      </c>
      <c r="E17">
        <v>11502978570.8333</v>
      </c>
      <c r="F17">
        <v>395964272.083332</v>
      </c>
    </row>
    <row r="20" spans="1:6" ht="15" customHeight="1" x14ac:dyDescent="0.25">
      <c r="A20" s="2" t="s">
        <v>14</v>
      </c>
    </row>
    <row r="21" spans="1:6" x14ac:dyDescent="0.25">
      <c r="A21" t="s">
        <v>6</v>
      </c>
      <c r="C21">
        <v>5242042669.8047705</v>
      </c>
      <c r="D21">
        <v>1048669548.28781</v>
      </c>
      <c r="E21">
        <v>10402982070</v>
      </c>
      <c r="F21">
        <v>4214037025.0458598</v>
      </c>
    </row>
    <row r="22" spans="1:6" x14ac:dyDescent="0.25">
      <c r="A22" t="s">
        <v>7</v>
      </c>
      <c r="C22">
        <v>4722539616.875</v>
      </c>
      <c r="D22">
        <v>1161595038.3333299</v>
      </c>
      <c r="E22">
        <v>8556201387.5</v>
      </c>
      <c r="F22">
        <v>3535038715.9485202</v>
      </c>
    </row>
    <row r="23" spans="1:6" ht="15" customHeight="1" x14ac:dyDescent="0.25">
      <c r="A23" s="2" t="s">
        <v>8</v>
      </c>
      <c r="C23">
        <v>8053634728.3333302</v>
      </c>
      <c r="D23">
        <v>2445646520</v>
      </c>
      <c r="E23">
        <v>13661621216.6667</v>
      </c>
      <c r="F23">
        <v>5607985843.3336</v>
      </c>
    </row>
    <row r="24" spans="1:6" x14ac:dyDescent="0.25">
      <c r="A24" t="s">
        <v>9</v>
      </c>
      <c r="C24">
        <v>6850510814.1666698</v>
      </c>
      <c r="D24">
        <v>1275929732.5</v>
      </c>
      <c r="E24">
        <v>13300131995.8333</v>
      </c>
      <c r="F24">
        <v>5294962100.0172596</v>
      </c>
    </row>
    <row r="25" spans="1:6" x14ac:dyDescent="0.25">
      <c r="A25" t="s">
        <v>10</v>
      </c>
      <c r="C25">
        <v>6176838165.2083302</v>
      </c>
      <c r="D25">
        <v>1547250452.5</v>
      </c>
      <c r="E25">
        <v>10871175500.8333</v>
      </c>
      <c r="F25">
        <v>4622947630.9985199</v>
      </c>
    </row>
    <row r="26" spans="1:6" x14ac:dyDescent="0.25">
      <c r="A26" t="s">
        <v>11</v>
      </c>
      <c r="C26">
        <v>7098731081.6666698</v>
      </c>
      <c r="D26">
        <v>1855323726.6666701</v>
      </c>
      <c r="E26">
        <v>13418103516.6667</v>
      </c>
      <c r="F26">
        <v>5141020831.9560003</v>
      </c>
    </row>
    <row r="27" spans="1:6" x14ac:dyDescent="0.25">
      <c r="A27" t="s">
        <v>12</v>
      </c>
      <c r="C27">
        <v>6761390826.6666698</v>
      </c>
      <c r="D27">
        <v>1686174393.3333299</v>
      </c>
      <c r="E27">
        <v>11840588927.5</v>
      </c>
      <c r="F27">
        <v>4995696095.4478703</v>
      </c>
    </row>
    <row r="28" spans="1:6" ht="15" customHeight="1" x14ac:dyDescent="0.25">
      <c r="A28" s="2" t="s">
        <v>13</v>
      </c>
      <c r="C28">
        <v>6573828670.2083302</v>
      </c>
      <c r="D28">
        <v>1772878124.1666701</v>
      </c>
      <c r="E28">
        <v>11502978570.8333</v>
      </c>
      <c r="F28">
        <v>4545768892.1371498</v>
      </c>
    </row>
    <row r="31" spans="1:6" ht="15" customHeight="1" x14ac:dyDescent="0.25">
      <c r="A31" s="2" t="s">
        <v>15</v>
      </c>
    </row>
    <row r="32" spans="1:6" x14ac:dyDescent="0.25">
      <c r="A32" t="s">
        <v>16</v>
      </c>
      <c r="B32">
        <v>1</v>
      </c>
      <c r="C32">
        <v>2</v>
      </c>
    </row>
    <row r="33" spans="1:5" x14ac:dyDescent="0.25">
      <c r="A33" t="s">
        <v>6</v>
      </c>
      <c r="B33">
        <v>1088779087.5262001</v>
      </c>
      <c r="C33">
        <v>9395306252.0833397</v>
      </c>
    </row>
    <row r="34" spans="1:5" x14ac:dyDescent="0.25">
      <c r="A34" t="s">
        <v>7</v>
      </c>
      <c r="B34">
        <v>1194173816.6666701</v>
      </c>
      <c r="C34">
        <v>8250905417.0833397</v>
      </c>
    </row>
    <row r="35" spans="1:5" ht="15" customHeight="1" x14ac:dyDescent="0.25">
      <c r="A35" s="2" t="s">
        <v>8</v>
      </c>
      <c r="B35">
        <v>2445648885</v>
      </c>
      <c r="C35">
        <v>13661620571.6667</v>
      </c>
    </row>
    <row r="36" spans="1:5" ht="15" customHeight="1" x14ac:dyDescent="0.25">
      <c r="A36" s="2" t="s">
        <v>9</v>
      </c>
      <c r="B36">
        <v>1633971632.9166701</v>
      </c>
      <c r="C36">
        <v>12067049995.4167</v>
      </c>
    </row>
    <row r="37" spans="1:5" x14ac:dyDescent="0.25">
      <c r="A37" t="s">
        <v>10</v>
      </c>
      <c r="B37">
        <v>1554170910</v>
      </c>
      <c r="C37">
        <v>10799505420.4167</v>
      </c>
    </row>
    <row r="38" spans="1:5" x14ac:dyDescent="0.25">
      <c r="A38" t="s">
        <v>11</v>
      </c>
      <c r="B38">
        <v>2036811200.8333299</v>
      </c>
      <c r="C38">
        <v>12160650962.5</v>
      </c>
    </row>
    <row r="39" spans="1:5" ht="15" customHeight="1" x14ac:dyDescent="0.25">
      <c r="A39" s="2" t="s">
        <v>12</v>
      </c>
      <c r="B39">
        <v>1766371237.0833299</v>
      </c>
      <c r="C39">
        <v>11756410416.25</v>
      </c>
    </row>
    <row r="40" spans="1:5" x14ac:dyDescent="0.25">
      <c r="A40" t="s">
        <v>13</v>
      </c>
      <c r="B40">
        <v>2040643041.6666701</v>
      </c>
      <c r="C40">
        <v>11107014298.75</v>
      </c>
    </row>
    <row r="43" spans="1:5" ht="15" customHeight="1" x14ac:dyDescent="0.25">
      <c r="A43" s="2" t="s">
        <v>17</v>
      </c>
    </row>
    <row r="44" spans="1:5" x14ac:dyDescent="0.25">
      <c r="A44" t="s">
        <v>16</v>
      </c>
      <c r="B44">
        <v>1</v>
      </c>
      <c r="C44">
        <v>1</v>
      </c>
      <c r="D44">
        <v>2</v>
      </c>
      <c r="E44">
        <v>2</v>
      </c>
    </row>
    <row r="45" spans="1:5" x14ac:dyDescent="0.25">
      <c r="A45" t="s">
        <v>6</v>
      </c>
      <c r="B45">
        <v>1048669548.28781</v>
      </c>
      <c r="C45">
        <v>1128888626.76458</v>
      </c>
      <c r="D45">
        <v>10402982070</v>
      </c>
      <c r="E45">
        <v>8387630434.1666698</v>
      </c>
    </row>
    <row r="46" spans="1:5" x14ac:dyDescent="0.25">
      <c r="A46" t="s">
        <v>7</v>
      </c>
      <c r="B46">
        <v>1161595038.3333299</v>
      </c>
      <c r="C46">
        <v>1226752595</v>
      </c>
      <c r="D46">
        <v>7945609446.6666698</v>
      </c>
      <c r="E46">
        <v>8556201387.5</v>
      </c>
    </row>
    <row r="47" spans="1:5" ht="15" customHeight="1" x14ac:dyDescent="0.25">
      <c r="A47" s="2" t="s">
        <v>8</v>
      </c>
      <c r="B47">
        <v>2445651250</v>
      </c>
      <c r="C47">
        <v>2445646520</v>
      </c>
      <c r="D47">
        <v>13661621216.6667</v>
      </c>
      <c r="E47">
        <v>13661619926.6667</v>
      </c>
    </row>
    <row r="48" spans="1:5" x14ac:dyDescent="0.25">
      <c r="A48" t="s">
        <v>9</v>
      </c>
      <c r="B48">
        <v>1992013533.3333299</v>
      </c>
      <c r="C48">
        <v>1275929732.5</v>
      </c>
      <c r="D48">
        <v>10833967995</v>
      </c>
      <c r="E48">
        <v>13300131995.8333</v>
      </c>
    </row>
    <row r="49" spans="1:5" x14ac:dyDescent="0.25">
      <c r="A49" t="s">
        <v>10</v>
      </c>
      <c r="B49">
        <v>1561091367.5</v>
      </c>
      <c r="C49">
        <v>1547250452.5</v>
      </c>
      <c r="D49">
        <v>10727835340</v>
      </c>
      <c r="E49">
        <v>10871175500.8333</v>
      </c>
    </row>
    <row r="50" spans="1:5" x14ac:dyDescent="0.25">
      <c r="A50" t="s">
        <v>11</v>
      </c>
      <c r="B50">
        <v>1855323726.6666701</v>
      </c>
      <c r="C50">
        <v>2218298675</v>
      </c>
      <c r="D50">
        <v>13418103516.6667</v>
      </c>
      <c r="E50">
        <v>10903198408.3333</v>
      </c>
    </row>
    <row r="51" spans="1:5" ht="15" customHeight="1" x14ac:dyDescent="0.25">
      <c r="A51" s="2" t="s">
        <v>12</v>
      </c>
      <c r="B51">
        <v>1846568080.8333299</v>
      </c>
      <c r="C51">
        <v>1686174393.3333299</v>
      </c>
      <c r="D51">
        <v>11672231905</v>
      </c>
      <c r="E51">
        <v>11840588927.5</v>
      </c>
    </row>
    <row r="52" spans="1:5" x14ac:dyDescent="0.25">
      <c r="A52" t="s">
        <v>13</v>
      </c>
      <c r="B52">
        <v>2308407959.1666698</v>
      </c>
      <c r="C52">
        <v>1772878124.1666701</v>
      </c>
      <c r="D52">
        <v>11502978570.8333</v>
      </c>
      <c r="E52">
        <v>10711050026.6667</v>
      </c>
    </row>
    <row r="59" spans="1:5" ht="15" customHeight="1" x14ac:dyDescent="0.25">
      <c r="A59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9"/>
  <sheetViews>
    <sheetView zoomScaleNormal="100" workbookViewId="0"/>
  </sheetViews>
  <sheetFormatPr defaultColWidth="8.5703125" defaultRowHeight="15" x14ac:dyDescent="0.25"/>
  <cols>
    <col min="1" max="1" width="24" customWidth="1"/>
    <col min="2" max="2" width="11" customWidth="1"/>
    <col min="3" max="3" width="13" customWidth="1"/>
    <col min="4" max="5" width="10" customWidth="1"/>
    <col min="6" max="6" width="20" customWidth="1"/>
    <col min="7" max="31" width="8" customWidth="1"/>
    <col min="32" max="43" width="9" customWidth="1"/>
    <col min="44" max="46" width="8" customWidth="1"/>
    <col min="47" max="48" width="9" customWidth="1"/>
    <col min="49" max="49" width="8" customWidth="1"/>
    <col min="50" max="50" width="9" customWidth="1"/>
    <col min="51" max="52" width="8" customWidth="1"/>
    <col min="53" max="53" width="9" customWidth="1"/>
    <col min="54" max="54" width="8" customWidth="1"/>
    <col min="55" max="55" width="9" customWidth="1"/>
    <col min="56" max="59" width="8" customWidth="1"/>
    <col min="60" max="60" width="9" customWidth="1"/>
    <col min="61" max="61" width="8" customWidth="1"/>
  </cols>
  <sheetData>
    <row r="1" spans="1:6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</v>
      </c>
      <c r="C2">
        <v>5168349.5</v>
      </c>
      <c r="D2">
        <v>5035751</v>
      </c>
      <c r="E2">
        <v>5300948</v>
      </c>
      <c r="F2">
        <v>132598.5</v>
      </c>
    </row>
    <row r="3" spans="1:6" x14ac:dyDescent="0.25">
      <c r="A3" t="s">
        <v>6</v>
      </c>
      <c r="B3">
        <v>2</v>
      </c>
      <c r="C3">
        <v>34719095.5</v>
      </c>
      <c r="D3">
        <v>30965042</v>
      </c>
      <c r="E3">
        <v>38473149</v>
      </c>
      <c r="F3">
        <v>3754053.5</v>
      </c>
    </row>
    <row r="4" spans="1:6" x14ac:dyDescent="0.25">
      <c r="A4" t="s">
        <v>7</v>
      </c>
      <c r="B4">
        <v>1</v>
      </c>
      <c r="C4">
        <v>5054557.5</v>
      </c>
      <c r="D4">
        <v>4738989</v>
      </c>
      <c r="E4">
        <v>5370126</v>
      </c>
      <c r="F4">
        <v>315568.5</v>
      </c>
    </row>
    <row r="5" spans="1:6" x14ac:dyDescent="0.25">
      <c r="A5" t="s">
        <v>7</v>
      </c>
      <c r="B5">
        <v>2</v>
      </c>
      <c r="C5">
        <v>29759761</v>
      </c>
      <c r="D5">
        <v>28532506</v>
      </c>
      <c r="E5">
        <v>30987016</v>
      </c>
      <c r="F5">
        <v>1227255</v>
      </c>
    </row>
    <row r="6" spans="1:6" x14ac:dyDescent="0.25">
      <c r="A6" t="s">
        <v>8</v>
      </c>
      <c r="B6">
        <v>1</v>
      </c>
      <c r="C6">
        <v>9993650</v>
      </c>
      <c r="D6">
        <v>9993639</v>
      </c>
      <c r="E6">
        <v>9993661</v>
      </c>
      <c r="F6">
        <v>11</v>
      </c>
    </row>
    <row r="7" spans="1:6" x14ac:dyDescent="0.25">
      <c r="A7" t="s">
        <v>8</v>
      </c>
      <c r="B7">
        <v>2</v>
      </c>
      <c r="C7">
        <v>53170016</v>
      </c>
      <c r="D7">
        <v>53170013</v>
      </c>
      <c r="E7">
        <v>53170019</v>
      </c>
      <c r="F7">
        <v>3</v>
      </c>
    </row>
    <row r="8" spans="1:6" x14ac:dyDescent="0.25">
      <c r="A8" t="s">
        <v>9</v>
      </c>
      <c r="B8">
        <v>1</v>
      </c>
      <c r="C8">
        <v>6800770</v>
      </c>
      <c r="D8">
        <v>5299297</v>
      </c>
      <c r="E8">
        <v>8302243</v>
      </c>
      <c r="F8">
        <v>1501473</v>
      </c>
    </row>
    <row r="9" spans="1:6" x14ac:dyDescent="0.25">
      <c r="A9" t="s">
        <v>9</v>
      </c>
      <c r="B9">
        <v>2</v>
      </c>
      <c r="C9">
        <v>45688922</v>
      </c>
      <c r="D9">
        <v>40298558</v>
      </c>
      <c r="E9">
        <v>51079286</v>
      </c>
      <c r="F9">
        <v>5390364</v>
      </c>
    </row>
    <row r="10" spans="1:6" x14ac:dyDescent="0.25">
      <c r="A10" t="s">
        <v>10</v>
      </c>
      <c r="B10">
        <v>1</v>
      </c>
      <c r="C10">
        <v>6021083.5</v>
      </c>
      <c r="D10">
        <v>5956840</v>
      </c>
      <c r="E10">
        <v>6085327</v>
      </c>
      <c r="F10">
        <v>64243.5</v>
      </c>
    </row>
    <row r="11" spans="1:6" x14ac:dyDescent="0.25">
      <c r="A11" t="s">
        <v>10</v>
      </c>
      <c r="B11">
        <v>2</v>
      </c>
      <c r="C11">
        <v>41004353</v>
      </c>
      <c r="D11">
        <v>40752058</v>
      </c>
      <c r="E11">
        <v>41256648</v>
      </c>
      <c r="F11">
        <v>252295</v>
      </c>
    </row>
    <row r="12" spans="1:6" ht="15" customHeight="1" x14ac:dyDescent="0.25">
      <c r="A12" s="2" t="s">
        <v>11</v>
      </c>
      <c r="B12">
        <v>1</v>
      </c>
      <c r="C12">
        <v>8295357.5</v>
      </c>
      <c r="D12">
        <v>7451141</v>
      </c>
      <c r="E12">
        <v>9139574</v>
      </c>
      <c r="F12">
        <v>844216.5</v>
      </c>
    </row>
    <row r="13" spans="1:6" x14ac:dyDescent="0.25">
      <c r="A13" t="s">
        <v>11</v>
      </c>
      <c r="B13">
        <v>2</v>
      </c>
      <c r="C13">
        <v>46628881.5</v>
      </c>
      <c r="D13">
        <v>40673531</v>
      </c>
      <c r="E13">
        <v>52584232</v>
      </c>
      <c r="F13">
        <v>5955350.5</v>
      </c>
    </row>
    <row r="14" spans="1:6" x14ac:dyDescent="0.25">
      <c r="A14" t="s">
        <v>12</v>
      </c>
      <c r="B14">
        <v>1</v>
      </c>
      <c r="C14">
        <v>6966618</v>
      </c>
      <c r="D14">
        <v>6931381</v>
      </c>
      <c r="E14">
        <v>7001855</v>
      </c>
      <c r="F14">
        <v>35237</v>
      </c>
    </row>
    <row r="15" spans="1:6" x14ac:dyDescent="0.25">
      <c r="A15" t="s">
        <v>12</v>
      </c>
      <c r="B15">
        <v>2</v>
      </c>
      <c r="C15">
        <v>44268262</v>
      </c>
      <c r="D15">
        <v>43616050</v>
      </c>
      <c r="E15">
        <v>44920474</v>
      </c>
      <c r="F15">
        <v>652212</v>
      </c>
    </row>
    <row r="16" spans="1:6" x14ac:dyDescent="0.25">
      <c r="A16" t="s">
        <v>13</v>
      </c>
      <c r="B16">
        <v>1</v>
      </c>
      <c r="C16">
        <v>8300462.5</v>
      </c>
      <c r="D16">
        <v>7161933</v>
      </c>
      <c r="E16">
        <v>9438992</v>
      </c>
      <c r="F16">
        <v>1138529.5</v>
      </c>
    </row>
    <row r="17" spans="1:6" x14ac:dyDescent="0.25">
      <c r="A17" t="s">
        <v>13</v>
      </c>
      <c r="B17">
        <v>2</v>
      </c>
      <c r="C17">
        <v>42692492.5</v>
      </c>
      <c r="D17">
        <v>41463091</v>
      </c>
      <c r="E17">
        <v>43921894</v>
      </c>
      <c r="F17">
        <v>1229401.5</v>
      </c>
    </row>
    <row r="20" spans="1:6" ht="15" customHeight="1" x14ac:dyDescent="0.25">
      <c r="A20" s="2" t="s">
        <v>14</v>
      </c>
    </row>
    <row r="21" spans="1:6" x14ac:dyDescent="0.25">
      <c r="A21" t="s">
        <v>6</v>
      </c>
      <c r="C21">
        <v>19943722.5</v>
      </c>
      <c r="D21">
        <v>5035751</v>
      </c>
      <c r="E21">
        <v>38473149</v>
      </c>
      <c r="F21">
        <v>15012224.928726001</v>
      </c>
    </row>
    <row r="22" spans="1:6" x14ac:dyDescent="0.25">
      <c r="A22" t="s">
        <v>7</v>
      </c>
      <c r="C22">
        <v>17407159.25</v>
      </c>
      <c r="D22">
        <v>4738989</v>
      </c>
      <c r="E22">
        <v>30987016</v>
      </c>
      <c r="F22">
        <v>12385057.091136601</v>
      </c>
    </row>
    <row r="23" spans="1:6" ht="15" customHeight="1" x14ac:dyDescent="0.25">
      <c r="A23" s="2" t="s">
        <v>8</v>
      </c>
      <c r="C23">
        <v>31581833</v>
      </c>
      <c r="D23">
        <v>9993639</v>
      </c>
      <c r="E23">
        <v>53170019</v>
      </c>
      <c r="F23">
        <v>21588183.000001501</v>
      </c>
    </row>
    <row r="24" spans="1:6" x14ac:dyDescent="0.25">
      <c r="A24" t="s">
        <v>9</v>
      </c>
      <c r="C24">
        <v>26244846</v>
      </c>
      <c r="D24">
        <v>5299297</v>
      </c>
      <c r="E24">
        <v>51079286</v>
      </c>
      <c r="F24">
        <v>19842563.193924502</v>
      </c>
    </row>
    <row r="25" spans="1:6" x14ac:dyDescent="0.25">
      <c r="A25" t="s">
        <v>10</v>
      </c>
      <c r="C25">
        <v>23512718.25</v>
      </c>
      <c r="D25">
        <v>5956840</v>
      </c>
      <c r="E25">
        <v>41256648</v>
      </c>
      <c r="F25">
        <v>17492603.471884001</v>
      </c>
    </row>
    <row r="26" spans="1:6" x14ac:dyDescent="0.25">
      <c r="A26" t="s">
        <v>11</v>
      </c>
      <c r="C26">
        <v>27462119.5</v>
      </c>
      <c r="D26">
        <v>7451141</v>
      </c>
      <c r="E26">
        <v>52584232</v>
      </c>
      <c r="F26">
        <v>19632987.956574701</v>
      </c>
    </row>
    <row r="27" spans="1:6" x14ac:dyDescent="0.25">
      <c r="A27" t="s">
        <v>12</v>
      </c>
      <c r="C27">
        <v>25617440</v>
      </c>
      <c r="D27">
        <v>6931381</v>
      </c>
      <c r="E27">
        <v>44920474</v>
      </c>
      <c r="F27">
        <v>18656539.666970398</v>
      </c>
    </row>
    <row r="28" spans="1:6" ht="15" customHeight="1" x14ac:dyDescent="0.25">
      <c r="A28" s="2" t="s">
        <v>13</v>
      </c>
      <c r="C28">
        <v>25496477.5</v>
      </c>
      <c r="D28">
        <v>7161933</v>
      </c>
      <c r="E28">
        <v>43921894</v>
      </c>
      <c r="F28">
        <v>17236785.391003501</v>
      </c>
    </row>
    <row r="31" spans="1:6" ht="15" customHeight="1" x14ac:dyDescent="0.25">
      <c r="A31" s="2" t="s">
        <v>15</v>
      </c>
    </row>
    <row r="32" spans="1:6" x14ac:dyDescent="0.25">
      <c r="A32" t="s">
        <v>16</v>
      </c>
      <c r="B32">
        <v>1</v>
      </c>
      <c r="C32">
        <v>2</v>
      </c>
    </row>
    <row r="33" spans="1:5" x14ac:dyDescent="0.25">
      <c r="A33" t="s">
        <v>6</v>
      </c>
      <c r="B33">
        <v>5168349.5</v>
      </c>
      <c r="C33">
        <v>34719095.5</v>
      </c>
    </row>
    <row r="34" spans="1:5" x14ac:dyDescent="0.25">
      <c r="A34" t="s">
        <v>7</v>
      </c>
      <c r="B34">
        <v>5054557.5</v>
      </c>
      <c r="C34">
        <v>29759761</v>
      </c>
    </row>
    <row r="35" spans="1:5" ht="15" customHeight="1" x14ac:dyDescent="0.25">
      <c r="A35" s="2" t="s">
        <v>8</v>
      </c>
      <c r="B35">
        <v>9993650</v>
      </c>
      <c r="C35">
        <v>53170016</v>
      </c>
    </row>
    <row r="36" spans="1:5" ht="15" customHeight="1" x14ac:dyDescent="0.25">
      <c r="A36" s="2" t="s">
        <v>9</v>
      </c>
      <c r="B36">
        <v>6800770</v>
      </c>
      <c r="C36">
        <v>45688922</v>
      </c>
    </row>
    <row r="37" spans="1:5" x14ac:dyDescent="0.25">
      <c r="A37" t="s">
        <v>10</v>
      </c>
      <c r="B37">
        <v>6021083.5</v>
      </c>
      <c r="C37">
        <v>41004353</v>
      </c>
    </row>
    <row r="38" spans="1:5" x14ac:dyDescent="0.25">
      <c r="A38" t="s">
        <v>11</v>
      </c>
      <c r="B38">
        <v>8295357.5</v>
      </c>
      <c r="C38">
        <v>46628881.5</v>
      </c>
    </row>
    <row r="39" spans="1:5" ht="15" customHeight="1" x14ac:dyDescent="0.25">
      <c r="A39" s="2" t="s">
        <v>12</v>
      </c>
      <c r="B39">
        <v>6966618</v>
      </c>
      <c r="C39">
        <v>44268262</v>
      </c>
    </row>
    <row r="40" spans="1:5" x14ac:dyDescent="0.25">
      <c r="A40" t="s">
        <v>13</v>
      </c>
      <c r="B40">
        <v>8300462.5</v>
      </c>
      <c r="C40">
        <v>42692492.5</v>
      </c>
    </row>
    <row r="43" spans="1:5" ht="15" customHeight="1" x14ac:dyDescent="0.25">
      <c r="A43" s="2" t="s">
        <v>17</v>
      </c>
    </row>
    <row r="44" spans="1:5" x14ac:dyDescent="0.25">
      <c r="A44" t="s">
        <v>16</v>
      </c>
      <c r="B44">
        <v>1</v>
      </c>
      <c r="C44">
        <v>1</v>
      </c>
      <c r="D44">
        <v>2</v>
      </c>
      <c r="E44">
        <v>2</v>
      </c>
    </row>
    <row r="45" spans="1:5" x14ac:dyDescent="0.25">
      <c r="A45" t="s">
        <v>6</v>
      </c>
      <c r="B45">
        <v>5035751</v>
      </c>
      <c r="C45">
        <v>5300948</v>
      </c>
      <c r="D45">
        <v>38473149</v>
      </c>
      <c r="E45">
        <v>30965042</v>
      </c>
    </row>
    <row r="46" spans="1:5" x14ac:dyDescent="0.25">
      <c r="A46" t="s">
        <v>7</v>
      </c>
      <c r="B46">
        <v>4738989</v>
      </c>
      <c r="C46">
        <v>5370126</v>
      </c>
      <c r="D46">
        <v>28532506</v>
      </c>
      <c r="E46">
        <v>30987016</v>
      </c>
    </row>
    <row r="47" spans="1:5" ht="15" customHeight="1" x14ac:dyDescent="0.25">
      <c r="A47" s="2" t="s">
        <v>8</v>
      </c>
      <c r="B47">
        <v>9993661</v>
      </c>
      <c r="C47">
        <v>9993639</v>
      </c>
      <c r="D47">
        <v>53170019</v>
      </c>
      <c r="E47">
        <v>53170013</v>
      </c>
    </row>
    <row r="48" spans="1:5" x14ac:dyDescent="0.25">
      <c r="A48" t="s">
        <v>9</v>
      </c>
      <c r="B48">
        <v>8302243</v>
      </c>
      <c r="C48">
        <v>5299297</v>
      </c>
      <c r="D48">
        <v>40298558</v>
      </c>
      <c r="E48">
        <v>51079286</v>
      </c>
    </row>
    <row r="49" spans="1:5" x14ac:dyDescent="0.25">
      <c r="A49" t="s">
        <v>10</v>
      </c>
      <c r="B49">
        <v>5956840</v>
      </c>
      <c r="C49">
        <v>6085327</v>
      </c>
      <c r="D49">
        <v>40752058</v>
      </c>
      <c r="E49">
        <v>41256648</v>
      </c>
    </row>
    <row r="50" spans="1:5" x14ac:dyDescent="0.25">
      <c r="A50" t="s">
        <v>11</v>
      </c>
      <c r="B50">
        <v>7451141</v>
      </c>
      <c r="C50">
        <v>9139574</v>
      </c>
      <c r="D50">
        <v>52584232</v>
      </c>
      <c r="E50">
        <v>40673531</v>
      </c>
    </row>
    <row r="51" spans="1:5" ht="15" customHeight="1" x14ac:dyDescent="0.25">
      <c r="A51" s="2" t="s">
        <v>12</v>
      </c>
      <c r="B51">
        <v>7001855</v>
      </c>
      <c r="C51">
        <v>6931381</v>
      </c>
      <c r="D51">
        <v>43616050</v>
      </c>
      <c r="E51">
        <v>44920474</v>
      </c>
    </row>
    <row r="52" spans="1:5" x14ac:dyDescent="0.25">
      <c r="A52" t="s">
        <v>13</v>
      </c>
      <c r="B52">
        <v>9438992</v>
      </c>
      <c r="C52">
        <v>7161933</v>
      </c>
      <c r="D52">
        <v>43921894</v>
      </c>
      <c r="E52">
        <v>41463091</v>
      </c>
    </row>
    <row r="59" spans="1:5" ht="15" customHeight="1" x14ac:dyDescent="0.25">
      <c r="A59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8"/>
  <sheetViews>
    <sheetView zoomScaleNormal="100" workbookViewId="0">
      <selection activeCell="S19" sqref="S19"/>
    </sheetView>
  </sheetViews>
  <sheetFormatPr defaultColWidth="8.5703125" defaultRowHeight="15" x14ac:dyDescent="0.25"/>
  <cols>
    <col min="1" max="1" width="24" customWidth="1"/>
    <col min="2" max="2" width="6" customWidth="1"/>
    <col min="3" max="3" width="9" customWidth="1"/>
    <col min="4" max="5" width="6" customWidth="1"/>
    <col min="6" max="6" width="20" customWidth="1"/>
    <col min="7" max="61" width="2" customWidth="1"/>
  </cols>
  <sheetData>
    <row r="1" spans="1:6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 x14ac:dyDescent="0.25">
      <c r="A2" t="s">
        <v>6</v>
      </c>
      <c r="B2">
        <v>1</v>
      </c>
      <c r="C2">
        <v>1</v>
      </c>
      <c r="D2" s="3" t="b">
        <f>TRUE()</f>
        <v>1</v>
      </c>
      <c r="E2" s="3" t="b">
        <f>TRUE()</f>
        <v>1</v>
      </c>
      <c r="F2">
        <v>0</v>
      </c>
    </row>
    <row r="3" spans="1:6" ht="15" customHeight="1" x14ac:dyDescent="0.25">
      <c r="A3" t="s">
        <v>6</v>
      </c>
      <c r="B3">
        <v>2</v>
      </c>
      <c r="C3">
        <v>1</v>
      </c>
      <c r="D3" s="3" t="b">
        <f>TRUE()</f>
        <v>1</v>
      </c>
      <c r="E3" s="3" t="b">
        <f>TRUE()</f>
        <v>1</v>
      </c>
      <c r="F3">
        <v>0</v>
      </c>
    </row>
    <row r="4" spans="1:6" ht="15" customHeight="1" x14ac:dyDescent="0.25">
      <c r="A4" t="s">
        <v>7</v>
      </c>
      <c r="B4">
        <v>1</v>
      </c>
      <c r="C4">
        <v>1</v>
      </c>
      <c r="D4" s="3" t="b">
        <f>TRUE()</f>
        <v>1</v>
      </c>
      <c r="E4" s="3" t="b">
        <f>TRUE()</f>
        <v>1</v>
      </c>
      <c r="F4">
        <v>0</v>
      </c>
    </row>
    <row r="5" spans="1:6" ht="15" customHeight="1" x14ac:dyDescent="0.25">
      <c r="A5" t="s">
        <v>7</v>
      </c>
      <c r="B5">
        <v>2</v>
      </c>
      <c r="C5">
        <v>1</v>
      </c>
      <c r="D5" s="3" t="b">
        <f>TRUE()</f>
        <v>1</v>
      </c>
      <c r="E5" s="3" t="b">
        <f>TRUE()</f>
        <v>1</v>
      </c>
      <c r="F5">
        <v>0.5</v>
      </c>
    </row>
    <row r="6" spans="1:6" ht="15" customHeight="1" x14ac:dyDescent="0.25">
      <c r="A6" t="s">
        <v>8</v>
      </c>
      <c r="B6">
        <v>1</v>
      </c>
      <c r="C6">
        <v>0.78</v>
      </c>
      <c r="D6" s="3" t="b">
        <f>FALSE()</f>
        <v>0</v>
      </c>
      <c r="E6" s="3" t="b">
        <f>TRUE()</f>
        <v>1</v>
      </c>
      <c r="F6">
        <v>0</v>
      </c>
    </row>
    <row r="7" spans="1:6" ht="15" customHeight="1" x14ac:dyDescent="0.25">
      <c r="A7" t="s">
        <v>8</v>
      </c>
      <c r="B7">
        <v>2</v>
      </c>
      <c r="C7">
        <v>0.56999999999999995</v>
      </c>
      <c r="D7" s="3" t="b">
        <f>FALSE()</f>
        <v>0</v>
      </c>
      <c r="E7" s="3" t="b">
        <f>TRUE()</f>
        <v>1</v>
      </c>
      <c r="F7">
        <v>0</v>
      </c>
    </row>
    <row r="8" spans="1:6" ht="15" customHeight="1" x14ac:dyDescent="0.25">
      <c r="A8" t="s">
        <v>9</v>
      </c>
      <c r="B8">
        <v>1</v>
      </c>
      <c r="C8">
        <v>1</v>
      </c>
      <c r="D8" s="3" t="b">
        <f>TRUE()</f>
        <v>1</v>
      </c>
      <c r="E8" s="3" t="b">
        <f>TRUE()</f>
        <v>1</v>
      </c>
      <c r="F8">
        <v>0</v>
      </c>
    </row>
    <row r="9" spans="1:6" ht="15" customHeight="1" x14ac:dyDescent="0.25">
      <c r="A9" t="s">
        <v>9</v>
      </c>
      <c r="B9">
        <v>2</v>
      </c>
      <c r="C9">
        <v>0.64</v>
      </c>
      <c r="D9" s="3" t="b">
        <f>FALSE()</f>
        <v>0</v>
      </c>
      <c r="E9" s="3" t="b">
        <f>TRUE()</f>
        <v>1</v>
      </c>
      <c r="F9">
        <v>0</v>
      </c>
    </row>
    <row r="10" spans="1:6" ht="15" customHeight="1" x14ac:dyDescent="0.25">
      <c r="A10" t="s">
        <v>10</v>
      </c>
      <c r="B10">
        <v>1</v>
      </c>
      <c r="C10">
        <v>1</v>
      </c>
      <c r="D10" s="3" t="b">
        <f>TRUE()</f>
        <v>1</v>
      </c>
      <c r="E10" s="3" t="b">
        <f>TRUE()</f>
        <v>1</v>
      </c>
      <c r="F10">
        <v>0</v>
      </c>
    </row>
    <row r="11" spans="1:6" ht="15" customHeight="1" x14ac:dyDescent="0.25">
      <c r="A11" t="s">
        <v>10</v>
      </c>
      <c r="B11">
        <v>2</v>
      </c>
      <c r="C11">
        <v>0.62</v>
      </c>
      <c r="D11" s="3" t="b">
        <f>FALSE()</f>
        <v>0</v>
      </c>
      <c r="E11" s="3" t="b">
        <f>TRUE()</f>
        <v>1</v>
      </c>
      <c r="F11">
        <v>0</v>
      </c>
    </row>
    <row r="12" spans="1:6" ht="15" customHeight="1" x14ac:dyDescent="0.25">
      <c r="A12" s="2" t="s">
        <v>11</v>
      </c>
      <c r="B12">
        <v>1</v>
      </c>
      <c r="C12">
        <v>0.77</v>
      </c>
      <c r="D12" s="3" t="b">
        <f>FALSE()</f>
        <v>0</v>
      </c>
      <c r="E12" s="3" t="b">
        <f>TRUE()</f>
        <v>1</v>
      </c>
      <c r="F12">
        <v>0.5</v>
      </c>
    </row>
    <row r="13" spans="1:6" ht="15" customHeight="1" x14ac:dyDescent="0.25">
      <c r="A13" t="s">
        <v>11</v>
      </c>
      <c r="B13">
        <v>2</v>
      </c>
      <c r="C13">
        <v>0.38</v>
      </c>
      <c r="D13" s="3" t="b">
        <f>FALSE()</f>
        <v>0</v>
      </c>
      <c r="E13" s="3" t="b">
        <f>TRUE()</f>
        <v>1</v>
      </c>
      <c r="F13">
        <v>0</v>
      </c>
    </row>
    <row r="14" spans="1:6" ht="15" customHeight="1" x14ac:dyDescent="0.25">
      <c r="A14" t="s">
        <v>12</v>
      </c>
      <c r="B14">
        <v>1</v>
      </c>
      <c r="C14">
        <v>1</v>
      </c>
      <c r="D14" s="3" t="b">
        <f>TRUE()</f>
        <v>1</v>
      </c>
      <c r="E14" s="3" t="b">
        <f>TRUE()</f>
        <v>1</v>
      </c>
      <c r="F14">
        <v>0</v>
      </c>
    </row>
    <row r="15" spans="1:6" ht="15" customHeight="1" x14ac:dyDescent="0.25">
      <c r="A15" t="s">
        <v>12</v>
      </c>
      <c r="B15">
        <v>2</v>
      </c>
      <c r="C15">
        <v>0.68</v>
      </c>
      <c r="D15" s="3" t="b">
        <f>FALSE()</f>
        <v>0</v>
      </c>
      <c r="E15" s="3" t="b">
        <f>TRUE()</f>
        <v>1</v>
      </c>
      <c r="F15">
        <v>0</v>
      </c>
    </row>
    <row r="16" spans="1:6" ht="15" customHeight="1" x14ac:dyDescent="0.25">
      <c r="A16" t="s">
        <v>13</v>
      </c>
      <c r="B16">
        <v>1</v>
      </c>
      <c r="C16">
        <v>0.8</v>
      </c>
      <c r="D16" s="3" t="b">
        <f>FALSE()</f>
        <v>0</v>
      </c>
      <c r="E16" s="3" t="b">
        <f>TRUE()</f>
        <v>1</v>
      </c>
      <c r="F16">
        <v>0.5</v>
      </c>
    </row>
    <row r="17" spans="1:6" ht="15" customHeight="1" x14ac:dyDescent="0.25">
      <c r="A17" t="s">
        <v>13</v>
      </c>
      <c r="B17">
        <v>2</v>
      </c>
      <c r="C17">
        <v>0.44</v>
      </c>
      <c r="D17" s="3" t="b">
        <f>FALSE()</f>
        <v>0</v>
      </c>
      <c r="E17" s="3" t="b">
        <f>TRUE()</f>
        <v>1</v>
      </c>
      <c r="F17">
        <v>0</v>
      </c>
    </row>
    <row r="18" spans="1:6" ht="15" customHeight="1" x14ac:dyDescent="0.25">
      <c r="D18" s="3"/>
      <c r="E18" s="3"/>
    </row>
    <row r="19" spans="1:6" ht="15" customHeight="1" x14ac:dyDescent="0.25">
      <c r="D19" s="3"/>
      <c r="E19" s="3"/>
    </row>
    <row r="20" spans="1:6" ht="15" customHeight="1" x14ac:dyDescent="0.25">
      <c r="A20" s="2" t="s">
        <v>14</v>
      </c>
      <c r="D20" s="3"/>
      <c r="E20" s="3"/>
    </row>
    <row r="21" spans="1:6" ht="15" customHeight="1" x14ac:dyDescent="0.25">
      <c r="A21" t="s">
        <v>6</v>
      </c>
      <c r="C21">
        <v>0.5</v>
      </c>
      <c r="D21" s="3" t="b">
        <f>FALSE()</f>
        <v>0</v>
      </c>
      <c r="E21" s="3" t="b">
        <f>TRUE()</f>
        <v>1</v>
      </c>
      <c r="F21">
        <v>0.5</v>
      </c>
    </row>
    <row r="22" spans="1:6" ht="15" customHeight="1" x14ac:dyDescent="0.25">
      <c r="A22" t="s">
        <v>7</v>
      </c>
      <c r="C22">
        <v>0.75</v>
      </c>
      <c r="D22" s="3" t="b">
        <f>FALSE()</f>
        <v>0</v>
      </c>
      <c r="E22" s="3" t="b">
        <f>TRUE()</f>
        <v>1</v>
      </c>
      <c r="F22">
        <v>0.43301270189221902</v>
      </c>
    </row>
    <row r="23" spans="1:6" ht="15" customHeight="1" x14ac:dyDescent="0.25">
      <c r="A23" s="2" t="s">
        <v>8</v>
      </c>
      <c r="C23">
        <v>0.62</v>
      </c>
      <c r="D23" s="3" t="b">
        <f>FALSE()</f>
        <v>0</v>
      </c>
      <c r="E23" s="3" t="b">
        <f>TRUE()</f>
        <v>1</v>
      </c>
      <c r="F23">
        <v>0</v>
      </c>
    </row>
    <row r="24" spans="1:6" ht="15" customHeight="1" x14ac:dyDescent="0.25">
      <c r="A24" t="s">
        <v>9</v>
      </c>
      <c r="C24">
        <v>0.5</v>
      </c>
      <c r="D24" s="3" t="b">
        <f>FALSE()</f>
        <v>0</v>
      </c>
      <c r="E24" s="3" t="b">
        <f>TRUE()</f>
        <v>1</v>
      </c>
      <c r="F24">
        <v>0.5</v>
      </c>
    </row>
    <row r="25" spans="1:6" ht="15" customHeight="1" x14ac:dyDescent="0.25">
      <c r="A25" t="s">
        <v>10</v>
      </c>
      <c r="C25">
        <v>0.5</v>
      </c>
      <c r="D25" s="3" t="b">
        <f>FALSE()</f>
        <v>0</v>
      </c>
      <c r="E25" s="3" t="b">
        <f>TRUE()</f>
        <v>1</v>
      </c>
      <c r="F25">
        <v>0.5</v>
      </c>
    </row>
    <row r="26" spans="1:6" ht="15" customHeight="1" x14ac:dyDescent="0.25">
      <c r="A26" t="s">
        <v>11</v>
      </c>
      <c r="C26">
        <v>0.25</v>
      </c>
      <c r="D26" s="3" t="b">
        <f>FALSE()</f>
        <v>0</v>
      </c>
      <c r="E26" s="3" t="b">
        <f>TRUE()</f>
        <v>1</v>
      </c>
      <c r="F26">
        <v>0.43301270189221902</v>
      </c>
    </row>
    <row r="27" spans="1:6" ht="15" customHeight="1" x14ac:dyDescent="0.25">
      <c r="A27" t="s">
        <v>12</v>
      </c>
      <c r="C27">
        <v>0.5</v>
      </c>
      <c r="D27" s="3" t="b">
        <f>FALSE()</f>
        <v>0</v>
      </c>
      <c r="E27" s="3" t="b">
        <f>TRUE()</f>
        <v>1</v>
      </c>
      <c r="F27">
        <v>0.5</v>
      </c>
    </row>
    <row r="28" spans="1:6" ht="15" customHeight="1" x14ac:dyDescent="0.25">
      <c r="A28" s="2" t="s">
        <v>13</v>
      </c>
      <c r="C28">
        <v>0.25</v>
      </c>
      <c r="D28" s="3" t="b">
        <f>FALSE()</f>
        <v>0</v>
      </c>
      <c r="E28" s="3" t="b">
        <f>TRUE()</f>
        <v>1</v>
      </c>
      <c r="F28">
        <v>0.43301270189221902</v>
      </c>
    </row>
    <row r="29" spans="1:6" ht="15" customHeight="1" x14ac:dyDescent="0.25">
      <c r="D29" s="3"/>
      <c r="E29" s="3"/>
    </row>
    <row r="30" spans="1:6" ht="15" customHeight="1" x14ac:dyDescent="0.25">
      <c r="D30" s="3"/>
      <c r="E30" s="3"/>
    </row>
    <row r="31" spans="1:6" ht="15" customHeight="1" x14ac:dyDescent="0.25">
      <c r="A31" s="2" t="s">
        <v>15</v>
      </c>
      <c r="D31" s="3"/>
      <c r="E31" s="3"/>
    </row>
    <row r="32" spans="1:6" ht="15" customHeight="1" x14ac:dyDescent="0.25">
      <c r="A32" t="s">
        <v>16</v>
      </c>
      <c r="B32">
        <v>1</v>
      </c>
      <c r="C32">
        <v>2</v>
      </c>
      <c r="D32" s="3"/>
      <c r="E32" s="3"/>
    </row>
    <row r="33" spans="1:11" ht="15" customHeight="1" x14ac:dyDescent="0.25">
      <c r="A33" t="s">
        <v>6</v>
      </c>
      <c r="B33">
        <v>1</v>
      </c>
      <c r="C33">
        <v>1</v>
      </c>
      <c r="D33" s="3"/>
      <c r="E33" s="3"/>
    </row>
    <row r="34" spans="1:11" ht="15" customHeight="1" x14ac:dyDescent="0.25">
      <c r="A34" t="s">
        <v>7</v>
      </c>
      <c r="B34">
        <v>1</v>
      </c>
      <c r="C34">
        <v>1</v>
      </c>
      <c r="D34" s="3"/>
      <c r="E34" s="3"/>
    </row>
    <row r="35" spans="1:11" ht="15" customHeight="1" x14ac:dyDescent="0.25">
      <c r="A35" s="2" t="s">
        <v>8</v>
      </c>
      <c r="B35">
        <v>0.78</v>
      </c>
      <c r="C35">
        <v>0.56999999999999995</v>
      </c>
      <c r="D35" s="3"/>
      <c r="E35" s="3"/>
    </row>
    <row r="36" spans="1:11" ht="15" customHeight="1" x14ac:dyDescent="0.25">
      <c r="A36" s="2" t="s">
        <v>9</v>
      </c>
      <c r="B36">
        <v>1</v>
      </c>
      <c r="C36">
        <v>0.64</v>
      </c>
      <c r="D36" s="3"/>
      <c r="E36" s="3"/>
    </row>
    <row r="37" spans="1:11" ht="15" customHeight="1" x14ac:dyDescent="0.25">
      <c r="A37" t="s">
        <v>10</v>
      </c>
      <c r="B37">
        <v>1</v>
      </c>
      <c r="C37">
        <v>0.62</v>
      </c>
      <c r="D37" s="3"/>
      <c r="E37" s="3"/>
      <c r="F37" s="3"/>
      <c r="G37" s="3"/>
      <c r="H37" s="3"/>
      <c r="I37" s="3"/>
      <c r="J37" s="3"/>
      <c r="K37" s="3"/>
    </row>
    <row r="38" spans="1:11" ht="15" customHeight="1" x14ac:dyDescent="0.25">
      <c r="A38" t="s">
        <v>11</v>
      </c>
      <c r="B38">
        <v>0.5</v>
      </c>
      <c r="C38">
        <v>0.38</v>
      </c>
      <c r="D38" s="3"/>
      <c r="E38" s="3"/>
      <c r="F38" s="3"/>
      <c r="G38" s="3"/>
      <c r="H38" s="3"/>
      <c r="I38" s="3"/>
      <c r="J38" s="3"/>
      <c r="K38" s="3"/>
    </row>
    <row r="39" spans="1:11" ht="15" customHeight="1" x14ac:dyDescent="0.25">
      <c r="A39" s="2" t="s">
        <v>12</v>
      </c>
      <c r="B39">
        <v>1</v>
      </c>
      <c r="C39">
        <v>0.68</v>
      </c>
      <c r="D39" s="3"/>
      <c r="E39" s="3"/>
      <c r="F39" s="3"/>
      <c r="G39" s="3"/>
      <c r="H39" s="3"/>
      <c r="I39" s="3"/>
      <c r="J39" s="3"/>
      <c r="K39" s="3"/>
    </row>
    <row r="40" spans="1:11" ht="15" customHeight="1" x14ac:dyDescent="0.25">
      <c r="A40" t="s">
        <v>13</v>
      </c>
      <c r="B40">
        <v>0.5</v>
      </c>
      <c r="C40">
        <v>0.44</v>
      </c>
      <c r="E40" s="3"/>
      <c r="F40" s="3"/>
      <c r="G40" s="3"/>
      <c r="H40" s="3"/>
      <c r="I40" s="3"/>
      <c r="J40" s="3"/>
      <c r="K40" s="3"/>
    </row>
    <row r="41" spans="1:11" ht="15" customHeight="1" x14ac:dyDescent="0.25">
      <c r="E41" s="3"/>
      <c r="F41" s="3"/>
      <c r="G41" s="3"/>
      <c r="H41" s="3"/>
      <c r="I41" s="3"/>
      <c r="J41" s="3"/>
      <c r="K41" s="3"/>
    </row>
    <row r="42" spans="1:11" ht="15" customHeight="1" x14ac:dyDescent="0.25">
      <c r="E42" s="3"/>
      <c r="F42" s="3"/>
      <c r="G42" s="3"/>
      <c r="H42" s="3"/>
      <c r="I42" s="3"/>
      <c r="J42" s="3"/>
      <c r="K42" s="3"/>
    </row>
    <row r="43" spans="1:11" ht="15" customHeight="1" x14ac:dyDescent="0.25">
      <c r="A43" s="2" t="s">
        <v>17</v>
      </c>
      <c r="E43" s="3"/>
      <c r="F43" s="3"/>
      <c r="G43" s="3"/>
      <c r="H43" s="3"/>
      <c r="I43" s="3"/>
      <c r="J43" s="3"/>
      <c r="K43" s="3"/>
    </row>
    <row r="44" spans="1:11" x14ac:dyDescent="0.25">
      <c r="A44" t="s">
        <v>16</v>
      </c>
      <c r="B44">
        <v>1</v>
      </c>
      <c r="C44">
        <v>1</v>
      </c>
      <c r="D44">
        <v>2</v>
      </c>
      <c r="E44">
        <v>2</v>
      </c>
    </row>
    <row r="45" spans="1:11" ht="15" customHeight="1" x14ac:dyDescent="0.25">
      <c r="A45" t="s">
        <v>6</v>
      </c>
      <c r="B45" t="b">
        <f>TRUE()</f>
        <v>1</v>
      </c>
      <c r="C45" t="b">
        <f>TRUE()</f>
        <v>1</v>
      </c>
      <c r="D45" t="b">
        <f>FALSE()</f>
        <v>0</v>
      </c>
      <c r="E45" t="b">
        <f>FALSE()</f>
        <v>0</v>
      </c>
    </row>
    <row r="46" spans="1:11" ht="15" customHeight="1" x14ac:dyDescent="0.25">
      <c r="A46" t="s">
        <v>7</v>
      </c>
      <c r="B46" t="b">
        <f>TRUE()</f>
        <v>1</v>
      </c>
      <c r="C46" t="b">
        <f>TRUE()</f>
        <v>1</v>
      </c>
      <c r="D46" t="b">
        <f>TRUE()</f>
        <v>1</v>
      </c>
      <c r="E46" t="b">
        <f>FALSE()</f>
        <v>0</v>
      </c>
    </row>
    <row r="47" spans="1:11" ht="15" customHeight="1" x14ac:dyDescent="0.25">
      <c r="A47" s="2" t="s">
        <v>8</v>
      </c>
      <c r="B47" t="b">
        <f>FALSE()</f>
        <v>0</v>
      </c>
      <c r="C47" t="b">
        <f>FALSE()</f>
        <v>0</v>
      </c>
      <c r="D47" t="b">
        <f>FALSE()</f>
        <v>0</v>
      </c>
      <c r="E47" t="b">
        <f>FALSE()</f>
        <v>0</v>
      </c>
    </row>
    <row r="48" spans="1:11" ht="15" customHeight="1" x14ac:dyDescent="0.25">
      <c r="A48" t="s">
        <v>9</v>
      </c>
      <c r="B48" t="b">
        <f>TRUE()</f>
        <v>1</v>
      </c>
      <c r="C48" t="b">
        <f>TRUE()</f>
        <v>1</v>
      </c>
      <c r="D48" t="b">
        <f>FALSE()</f>
        <v>0</v>
      </c>
      <c r="E48" t="b">
        <f>FALSE()</f>
        <v>0</v>
      </c>
    </row>
    <row r="49" spans="1:5" ht="15" customHeight="1" x14ac:dyDescent="0.25">
      <c r="A49" t="s">
        <v>10</v>
      </c>
      <c r="B49" t="b">
        <f>TRUE()</f>
        <v>1</v>
      </c>
      <c r="C49" t="b">
        <f>TRUE()</f>
        <v>1</v>
      </c>
      <c r="D49" t="b">
        <f>FALSE()</f>
        <v>0</v>
      </c>
      <c r="E49" t="b">
        <f>FALSE()</f>
        <v>0</v>
      </c>
    </row>
    <row r="50" spans="1:5" ht="15" customHeight="1" x14ac:dyDescent="0.25">
      <c r="A50" t="s">
        <v>11</v>
      </c>
      <c r="B50" t="b">
        <f>TRUE()</f>
        <v>1</v>
      </c>
      <c r="C50" t="b">
        <f>FALSE()</f>
        <v>0</v>
      </c>
      <c r="D50" t="b">
        <f>FALSE()</f>
        <v>0</v>
      </c>
      <c r="E50" t="b">
        <f>FALSE()</f>
        <v>0</v>
      </c>
    </row>
    <row r="51" spans="1:5" ht="15" customHeight="1" x14ac:dyDescent="0.25">
      <c r="A51" s="2" t="s">
        <v>12</v>
      </c>
      <c r="B51" t="b">
        <f>TRUE()</f>
        <v>1</v>
      </c>
      <c r="C51" t="b">
        <f>TRUE()</f>
        <v>1</v>
      </c>
      <c r="D51" t="b">
        <f>FALSE()</f>
        <v>0</v>
      </c>
      <c r="E51" t="b">
        <f>FALSE()</f>
        <v>0</v>
      </c>
    </row>
    <row r="52" spans="1:5" x14ac:dyDescent="0.25">
      <c r="A52" t="s">
        <v>13</v>
      </c>
      <c r="B52" t="b">
        <f>FALSE()</f>
        <v>0</v>
      </c>
      <c r="C52" t="b">
        <f>TRUE()</f>
        <v>1</v>
      </c>
      <c r="D52" t="b">
        <f>FALSE()</f>
        <v>0</v>
      </c>
      <c r="E52" t="b">
        <f>FALSE()</f>
        <v>0</v>
      </c>
    </row>
    <row r="53" spans="1:5" ht="15" customHeight="1" x14ac:dyDescent="0.25"/>
    <row r="54" spans="1:5" ht="15" customHeight="1" x14ac:dyDescent="0.25"/>
    <row r="55" spans="1:5" ht="15" customHeight="1" x14ac:dyDescent="0.25"/>
    <row r="56" spans="1:5" ht="15" customHeight="1" x14ac:dyDescent="0.25"/>
    <row r="57" spans="1:5" ht="15" customHeight="1" x14ac:dyDescent="0.25"/>
    <row r="58" spans="1:5" ht="15" customHeight="1" x14ac:dyDescent="0.25"/>
    <row r="59" spans="1:5" ht="15" customHeight="1" x14ac:dyDescent="0.25">
      <c r="A59" s="2"/>
    </row>
    <row r="60" spans="1:5" ht="15" customHeight="1" x14ac:dyDescent="0.25"/>
    <row r="61" spans="1:5" ht="15" customHeight="1" x14ac:dyDescent="0.25"/>
    <row r="62" spans="1:5" ht="15" customHeight="1" x14ac:dyDescent="0.25"/>
    <row r="63" spans="1:5" ht="15" customHeight="1" x14ac:dyDescent="0.25"/>
    <row r="64" spans="1:5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9"/>
  <sheetViews>
    <sheetView zoomScaleNormal="100" workbookViewId="0"/>
  </sheetViews>
  <sheetFormatPr defaultColWidth="8.5703125" defaultRowHeight="15" x14ac:dyDescent="0.25"/>
  <cols>
    <col min="1" max="1" width="24" customWidth="1"/>
    <col min="2" max="3" width="20" customWidth="1"/>
    <col min="4" max="5" width="12" customWidth="1"/>
    <col min="6" max="6" width="20" customWidth="1"/>
    <col min="7" max="21" width="10" customWidth="1"/>
    <col min="22" max="31" width="11" customWidth="1"/>
    <col min="32" max="33" width="12" customWidth="1"/>
    <col min="34" max="34" width="11" customWidth="1"/>
    <col min="35" max="35" width="12" customWidth="1"/>
    <col min="36" max="37" width="11" customWidth="1"/>
    <col min="38" max="38" width="12" customWidth="1"/>
    <col min="39" max="39" width="11" customWidth="1"/>
    <col min="40" max="41" width="12" customWidth="1"/>
    <col min="42" max="61" width="10" customWidth="1"/>
  </cols>
  <sheetData>
    <row r="1" spans="1:6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</v>
      </c>
      <c r="C2">
        <v>1918557.1</v>
      </c>
      <c r="D2">
        <v>1580319.6</v>
      </c>
      <c r="E2">
        <v>2256794.6</v>
      </c>
      <c r="F2">
        <v>338237.5</v>
      </c>
    </row>
    <row r="3" spans="1:6" x14ac:dyDescent="0.25">
      <c r="A3" t="s">
        <v>6</v>
      </c>
      <c r="B3">
        <v>2</v>
      </c>
      <c r="C3">
        <v>15791533.25</v>
      </c>
      <c r="D3">
        <v>15298301.6</v>
      </c>
      <c r="E3">
        <v>16284764.9</v>
      </c>
      <c r="F3">
        <v>493231.65</v>
      </c>
    </row>
    <row r="4" spans="1:6" x14ac:dyDescent="0.25">
      <c r="A4" t="s">
        <v>7</v>
      </c>
      <c r="B4">
        <v>1</v>
      </c>
      <c r="C4">
        <v>1716093.65</v>
      </c>
      <c r="D4">
        <v>1516230.8</v>
      </c>
      <c r="E4">
        <v>1915956.5</v>
      </c>
      <c r="F4">
        <v>199862.85</v>
      </c>
    </row>
    <row r="5" spans="1:6" x14ac:dyDescent="0.25">
      <c r="A5" t="s">
        <v>7</v>
      </c>
      <c r="B5">
        <v>2</v>
      </c>
      <c r="C5">
        <v>16333363.85</v>
      </c>
      <c r="D5">
        <v>16086520.6</v>
      </c>
      <c r="E5">
        <v>16580207.1</v>
      </c>
      <c r="F5">
        <v>246843.25</v>
      </c>
    </row>
    <row r="6" spans="1:6" x14ac:dyDescent="0.25">
      <c r="A6" t="s">
        <v>8</v>
      </c>
      <c r="B6">
        <v>1</v>
      </c>
      <c r="C6">
        <v>1812059.1</v>
      </c>
      <c r="D6">
        <v>1812059.1</v>
      </c>
      <c r="E6">
        <v>1812059.1</v>
      </c>
      <c r="F6">
        <v>0</v>
      </c>
    </row>
    <row r="7" spans="1:6" x14ac:dyDescent="0.25">
      <c r="A7" t="s">
        <v>8</v>
      </c>
      <c r="B7">
        <v>2</v>
      </c>
      <c r="C7">
        <v>16018134.1</v>
      </c>
      <c r="D7">
        <v>16018134.1</v>
      </c>
      <c r="E7">
        <v>16018134.1</v>
      </c>
      <c r="F7">
        <v>0</v>
      </c>
    </row>
    <row r="8" spans="1:6" x14ac:dyDescent="0.25">
      <c r="A8" t="s">
        <v>9</v>
      </c>
      <c r="B8">
        <v>1</v>
      </c>
      <c r="C8">
        <v>1692428.5</v>
      </c>
      <c r="D8">
        <v>1615254.6</v>
      </c>
      <c r="E8">
        <v>1769602.4</v>
      </c>
      <c r="F8">
        <v>77173.899999999907</v>
      </c>
    </row>
    <row r="9" spans="1:6" x14ac:dyDescent="0.25">
      <c r="A9" t="s">
        <v>9</v>
      </c>
      <c r="B9">
        <v>2</v>
      </c>
      <c r="C9">
        <v>15882583</v>
      </c>
      <c r="D9">
        <v>15395167.6</v>
      </c>
      <c r="E9">
        <v>16369998.4</v>
      </c>
      <c r="F9">
        <v>487415.4</v>
      </c>
    </row>
    <row r="10" spans="1:6" x14ac:dyDescent="0.25">
      <c r="A10" t="s">
        <v>10</v>
      </c>
      <c r="B10">
        <v>1</v>
      </c>
      <c r="C10">
        <v>1616243.2</v>
      </c>
      <c r="D10">
        <v>1541546.5</v>
      </c>
      <c r="E10">
        <v>1690939.9</v>
      </c>
      <c r="F10">
        <v>74696.7</v>
      </c>
    </row>
    <row r="11" spans="1:6" x14ac:dyDescent="0.25">
      <c r="A11" t="s">
        <v>10</v>
      </c>
      <c r="B11">
        <v>2</v>
      </c>
      <c r="C11">
        <v>16120448.85</v>
      </c>
      <c r="D11">
        <v>15985590.6</v>
      </c>
      <c r="E11">
        <v>16255307.1</v>
      </c>
      <c r="F11">
        <v>134858.25</v>
      </c>
    </row>
    <row r="12" spans="1:6" ht="15" customHeight="1" x14ac:dyDescent="0.25">
      <c r="A12" s="2" t="s">
        <v>11</v>
      </c>
      <c r="B12">
        <v>1</v>
      </c>
      <c r="C12">
        <v>1624148.05</v>
      </c>
      <c r="D12">
        <v>1607674.2</v>
      </c>
      <c r="E12">
        <v>1640621.9</v>
      </c>
      <c r="F12">
        <v>16473.849999999999</v>
      </c>
    </row>
    <row r="13" spans="1:6" x14ac:dyDescent="0.25">
      <c r="A13" t="s">
        <v>11</v>
      </c>
      <c r="B13">
        <v>2</v>
      </c>
      <c r="C13">
        <v>15598618.35</v>
      </c>
      <c r="D13">
        <v>15597318.6</v>
      </c>
      <c r="E13">
        <v>15599918.1</v>
      </c>
      <c r="F13">
        <v>1299.75</v>
      </c>
    </row>
    <row r="14" spans="1:6" x14ac:dyDescent="0.25">
      <c r="A14" t="s">
        <v>12</v>
      </c>
      <c r="B14">
        <v>1</v>
      </c>
      <c r="C14">
        <v>1507895.7</v>
      </c>
      <c r="D14">
        <v>1388261.8</v>
      </c>
      <c r="E14">
        <v>1627529.6</v>
      </c>
      <c r="F14">
        <v>119633.9</v>
      </c>
    </row>
    <row r="15" spans="1:6" x14ac:dyDescent="0.25">
      <c r="A15" t="s">
        <v>12</v>
      </c>
      <c r="B15">
        <v>2</v>
      </c>
      <c r="C15">
        <v>15613053.75</v>
      </c>
      <c r="D15">
        <v>15467819.800000001</v>
      </c>
      <c r="E15">
        <v>15758287.699999999</v>
      </c>
      <c r="F15">
        <v>145233.94999999899</v>
      </c>
    </row>
    <row r="16" spans="1:6" x14ac:dyDescent="0.25">
      <c r="A16" t="s">
        <v>13</v>
      </c>
      <c r="B16">
        <v>1</v>
      </c>
      <c r="C16">
        <v>1788923</v>
      </c>
      <c r="D16">
        <v>1656104.8</v>
      </c>
      <c r="E16">
        <v>1921741.2</v>
      </c>
      <c r="F16">
        <v>132818.20000000001</v>
      </c>
    </row>
    <row r="17" spans="1:6" x14ac:dyDescent="0.25">
      <c r="A17" t="s">
        <v>13</v>
      </c>
      <c r="B17">
        <v>2</v>
      </c>
      <c r="C17">
        <v>15129361.300000001</v>
      </c>
      <c r="D17">
        <v>14546467.5</v>
      </c>
      <c r="E17">
        <v>15712255.1</v>
      </c>
      <c r="F17">
        <v>582893.80000000005</v>
      </c>
    </row>
    <row r="20" spans="1:6" ht="15" customHeight="1" x14ac:dyDescent="0.25">
      <c r="A20" s="2" t="s">
        <v>14</v>
      </c>
    </row>
    <row r="21" spans="1:6" x14ac:dyDescent="0.25">
      <c r="A21" t="s">
        <v>6</v>
      </c>
      <c r="C21">
        <v>8855045.1750000007</v>
      </c>
      <c r="D21">
        <v>1580319.6</v>
      </c>
      <c r="E21">
        <v>16284764.9</v>
      </c>
      <c r="F21">
        <v>6949367.4423001399</v>
      </c>
    </row>
    <row r="22" spans="1:6" x14ac:dyDescent="0.25">
      <c r="A22" t="s">
        <v>7</v>
      </c>
      <c r="C22">
        <v>9024728.75</v>
      </c>
      <c r="D22">
        <v>1516230.8</v>
      </c>
      <c r="E22">
        <v>16580207.1</v>
      </c>
      <c r="F22">
        <v>7312084.8873212896</v>
      </c>
    </row>
    <row r="23" spans="1:6" ht="15" customHeight="1" x14ac:dyDescent="0.25">
      <c r="A23" s="2" t="s">
        <v>8</v>
      </c>
      <c r="C23">
        <v>8915096.5999999996</v>
      </c>
      <c r="D23">
        <v>1812059.1</v>
      </c>
      <c r="E23">
        <v>16018134.1</v>
      </c>
      <c r="F23">
        <v>7103037.5</v>
      </c>
    </row>
    <row r="24" spans="1:6" x14ac:dyDescent="0.25">
      <c r="A24" t="s">
        <v>9</v>
      </c>
      <c r="C24">
        <v>8787505.75</v>
      </c>
      <c r="D24">
        <v>1615254.6</v>
      </c>
      <c r="E24">
        <v>16369998.4</v>
      </c>
      <c r="F24">
        <v>7103653.0021508504</v>
      </c>
    </row>
    <row r="25" spans="1:6" x14ac:dyDescent="0.25">
      <c r="A25" t="s">
        <v>10</v>
      </c>
      <c r="C25">
        <v>8868346.0250000004</v>
      </c>
      <c r="D25">
        <v>1541546.5</v>
      </c>
      <c r="E25">
        <v>16255307.1</v>
      </c>
      <c r="F25">
        <v>7252922.0702186599</v>
      </c>
    </row>
    <row r="26" spans="1:6" x14ac:dyDescent="0.25">
      <c r="A26" t="s">
        <v>11</v>
      </c>
      <c r="C26">
        <v>8611383.1999999993</v>
      </c>
      <c r="D26">
        <v>1607674.2</v>
      </c>
      <c r="E26">
        <v>15599918.1</v>
      </c>
      <c r="F26">
        <v>6987244.9205632899</v>
      </c>
    </row>
    <row r="27" spans="1:6" x14ac:dyDescent="0.25">
      <c r="A27" t="s">
        <v>12</v>
      </c>
      <c r="C27">
        <v>8560474.7249999996</v>
      </c>
      <c r="D27">
        <v>1388261.8</v>
      </c>
      <c r="E27">
        <v>15758287.699999999</v>
      </c>
      <c r="F27">
        <v>7053833.9567217501</v>
      </c>
    </row>
    <row r="28" spans="1:6" ht="15" customHeight="1" x14ac:dyDescent="0.25">
      <c r="A28" s="2" t="s">
        <v>13</v>
      </c>
      <c r="C28">
        <v>8459142.1500000004</v>
      </c>
      <c r="D28">
        <v>1656104.8</v>
      </c>
      <c r="E28">
        <v>15712255.1</v>
      </c>
      <c r="F28">
        <v>6683601.30746827</v>
      </c>
    </row>
    <row r="31" spans="1:6" ht="15" customHeight="1" x14ac:dyDescent="0.25">
      <c r="A31" s="2" t="s">
        <v>15</v>
      </c>
    </row>
    <row r="32" spans="1:6" x14ac:dyDescent="0.25">
      <c r="A32" t="s">
        <v>16</v>
      </c>
      <c r="B32">
        <v>1</v>
      </c>
      <c r="C32">
        <v>2</v>
      </c>
    </row>
    <row r="33" spans="1:5" x14ac:dyDescent="0.25">
      <c r="A33" t="s">
        <v>6</v>
      </c>
      <c r="B33">
        <v>1918557.1</v>
      </c>
      <c r="C33">
        <v>15791533.25</v>
      </c>
    </row>
    <row r="34" spans="1:5" x14ac:dyDescent="0.25">
      <c r="A34" t="s">
        <v>7</v>
      </c>
      <c r="B34">
        <v>1716093.65</v>
      </c>
      <c r="C34">
        <v>16333363.85</v>
      </c>
    </row>
    <row r="35" spans="1:5" ht="15" customHeight="1" x14ac:dyDescent="0.25">
      <c r="A35" s="2" t="s">
        <v>8</v>
      </c>
      <c r="B35">
        <v>1812059.1</v>
      </c>
      <c r="C35">
        <v>16018134.1</v>
      </c>
    </row>
    <row r="36" spans="1:5" ht="15" customHeight="1" x14ac:dyDescent="0.25">
      <c r="A36" s="2" t="s">
        <v>9</v>
      </c>
      <c r="B36">
        <v>1692428.5</v>
      </c>
      <c r="C36">
        <v>15882583</v>
      </c>
    </row>
    <row r="37" spans="1:5" x14ac:dyDescent="0.25">
      <c r="A37" t="s">
        <v>10</v>
      </c>
      <c r="B37">
        <v>1616243.2</v>
      </c>
      <c r="C37">
        <v>16120448.85</v>
      </c>
    </row>
    <row r="38" spans="1:5" x14ac:dyDescent="0.25">
      <c r="A38" t="s">
        <v>11</v>
      </c>
      <c r="B38">
        <v>1624148.05</v>
      </c>
      <c r="C38">
        <v>15598618.35</v>
      </c>
    </row>
    <row r="39" spans="1:5" ht="15" customHeight="1" x14ac:dyDescent="0.25">
      <c r="A39" s="2" t="s">
        <v>12</v>
      </c>
      <c r="B39">
        <v>1507895.7</v>
      </c>
      <c r="C39">
        <v>15613053.75</v>
      </c>
    </row>
    <row r="40" spans="1:5" x14ac:dyDescent="0.25">
      <c r="A40" t="s">
        <v>13</v>
      </c>
      <c r="B40">
        <v>1788923</v>
      </c>
      <c r="C40">
        <v>15129361.300000001</v>
      </c>
    </row>
    <row r="43" spans="1:5" ht="15" customHeight="1" x14ac:dyDescent="0.25">
      <c r="A43" s="2" t="s">
        <v>17</v>
      </c>
    </row>
    <row r="44" spans="1:5" x14ac:dyDescent="0.25">
      <c r="A44" t="s">
        <v>16</v>
      </c>
      <c r="B44">
        <v>1</v>
      </c>
      <c r="C44">
        <v>1</v>
      </c>
      <c r="D44">
        <v>2</v>
      </c>
      <c r="E44">
        <v>2</v>
      </c>
    </row>
    <row r="45" spans="1:5" x14ac:dyDescent="0.25">
      <c r="A45" t="s">
        <v>6</v>
      </c>
      <c r="B45">
        <v>1580319.6</v>
      </c>
      <c r="C45">
        <v>2256794.6</v>
      </c>
      <c r="D45">
        <v>16284764.9</v>
      </c>
      <c r="E45">
        <v>15298301.6</v>
      </c>
    </row>
    <row r="46" spans="1:5" x14ac:dyDescent="0.25">
      <c r="A46" t="s">
        <v>7</v>
      </c>
      <c r="B46">
        <v>1516230.8</v>
      </c>
      <c r="C46">
        <v>1915956.5</v>
      </c>
      <c r="D46">
        <v>16580207.1</v>
      </c>
      <c r="E46">
        <v>16086520.6</v>
      </c>
    </row>
    <row r="47" spans="1:5" ht="15" customHeight="1" x14ac:dyDescent="0.25">
      <c r="A47" s="2" t="s">
        <v>8</v>
      </c>
      <c r="B47">
        <v>1812059.1</v>
      </c>
      <c r="C47">
        <v>1812059.1</v>
      </c>
      <c r="D47">
        <v>16018134.1</v>
      </c>
      <c r="E47">
        <v>16018134.1</v>
      </c>
    </row>
    <row r="48" spans="1:5" x14ac:dyDescent="0.25">
      <c r="A48" t="s">
        <v>9</v>
      </c>
      <c r="B48">
        <v>1769602.4</v>
      </c>
      <c r="C48">
        <v>1615254.6</v>
      </c>
      <c r="D48">
        <v>15395167.6</v>
      </c>
      <c r="E48">
        <v>16369998.4</v>
      </c>
    </row>
    <row r="49" spans="1:5" x14ac:dyDescent="0.25">
      <c r="A49" t="s">
        <v>10</v>
      </c>
      <c r="B49">
        <v>1541546.5</v>
      </c>
      <c r="C49">
        <v>1690939.9</v>
      </c>
      <c r="D49">
        <v>16255307.1</v>
      </c>
      <c r="E49">
        <v>15985590.6</v>
      </c>
    </row>
    <row r="50" spans="1:5" x14ac:dyDescent="0.25">
      <c r="A50" t="s">
        <v>11</v>
      </c>
      <c r="B50">
        <v>1640621.9</v>
      </c>
      <c r="C50">
        <v>1607674.2</v>
      </c>
      <c r="D50">
        <v>15597318.6</v>
      </c>
      <c r="E50">
        <v>15599918.1</v>
      </c>
    </row>
    <row r="51" spans="1:5" ht="15" customHeight="1" x14ac:dyDescent="0.25">
      <c r="A51" s="2" t="s">
        <v>12</v>
      </c>
      <c r="B51">
        <v>1388261.8</v>
      </c>
      <c r="C51">
        <v>1627529.6</v>
      </c>
      <c r="D51">
        <v>15758287.699999999</v>
      </c>
      <c r="E51">
        <v>15467819.800000001</v>
      </c>
    </row>
    <row r="52" spans="1:5" x14ac:dyDescent="0.25">
      <c r="A52" t="s">
        <v>13</v>
      </c>
      <c r="B52">
        <v>1656104.8</v>
      </c>
      <c r="C52">
        <v>1921741.2</v>
      </c>
      <c r="D52">
        <v>15712255.1</v>
      </c>
      <c r="E52">
        <v>14546467.5</v>
      </c>
    </row>
    <row r="59" spans="1:5" ht="15" customHeight="1" x14ac:dyDescent="0.25">
      <c r="A59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9"/>
  <sheetViews>
    <sheetView zoomScaleNormal="100" workbookViewId="0"/>
  </sheetViews>
  <sheetFormatPr defaultColWidth="8.5703125" defaultRowHeight="15" x14ac:dyDescent="0.25"/>
  <cols>
    <col min="1" max="1" width="24" customWidth="1"/>
    <col min="2" max="2" width="11" customWidth="1"/>
    <col min="3" max="3" width="13" customWidth="1"/>
    <col min="4" max="5" width="12" customWidth="1"/>
    <col min="6" max="6" width="20" customWidth="1"/>
    <col min="7" max="14" width="10" customWidth="1"/>
    <col min="15" max="15" width="9" customWidth="1"/>
    <col min="16" max="61" width="10" customWidth="1"/>
  </cols>
  <sheetData>
    <row r="1" spans="1:6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</v>
      </c>
      <c r="C2">
        <v>4719898</v>
      </c>
      <c r="D2">
        <v>1932873</v>
      </c>
      <c r="E2">
        <v>7506923</v>
      </c>
      <c r="F2">
        <v>2787025</v>
      </c>
    </row>
    <row r="3" spans="1:6" x14ac:dyDescent="0.25">
      <c r="A3" t="s">
        <v>6</v>
      </c>
      <c r="B3">
        <v>2</v>
      </c>
      <c r="C3">
        <v>17137769.5</v>
      </c>
      <c r="D3">
        <v>11502890</v>
      </c>
      <c r="E3">
        <v>22772649</v>
      </c>
      <c r="F3">
        <v>5634879.5</v>
      </c>
    </row>
    <row r="4" spans="1:6" x14ac:dyDescent="0.25">
      <c r="A4" t="s">
        <v>7</v>
      </c>
      <c r="B4">
        <v>1</v>
      </c>
      <c r="C4">
        <v>2745363</v>
      </c>
      <c r="D4">
        <v>1376048</v>
      </c>
      <c r="E4">
        <v>4114678</v>
      </c>
      <c r="F4">
        <v>1369315</v>
      </c>
    </row>
    <row r="5" spans="1:6" x14ac:dyDescent="0.25">
      <c r="A5" t="s">
        <v>7</v>
      </c>
      <c r="B5">
        <v>2</v>
      </c>
      <c r="C5">
        <v>13287625.5</v>
      </c>
      <c r="D5">
        <v>11579778</v>
      </c>
      <c r="E5">
        <v>14995473</v>
      </c>
      <c r="F5">
        <v>1707847.5</v>
      </c>
    </row>
    <row r="6" spans="1:6" x14ac:dyDescent="0.25">
      <c r="A6" t="s">
        <v>8</v>
      </c>
      <c r="B6">
        <v>1</v>
      </c>
      <c r="C6">
        <v>468238</v>
      </c>
      <c r="D6">
        <v>468238</v>
      </c>
      <c r="E6">
        <v>468238</v>
      </c>
      <c r="F6">
        <v>0</v>
      </c>
    </row>
    <row r="7" spans="1:6" x14ac:dyDescent="0.25">
      <c r="A7" t="s">
        <v>8</v>
      </c>
      <c r="B7">
        <v>2</v>
      </c>
      <c r="C7">
        <v>12922772</v>
      </c>
      <c r="D7">
        <v>12922772</v>
      </c>
      <c r="E7">
        <v>12922772</v>
      </c>
      <c r="F7">
        <v>0</v>
      </c>
    </row>
    <row r="8" spans="1:6" x14ac:dyDescent="0.25">
      <c r="A8" t="s">
        <v>9</v>
      </c>
      <c r="B8">
        <v>1</v>
      </c>
      <c r="C8">
        <v>2435453.5</v>
      </c>
      <c r="D8">
        <v>1523626</v>
      </c>
      <c r="E8">
        <v>3347281</v>
      </c>
      <c r="F8">
        <v>911827.5</v>
      </c>
    </row>
    <row r="9" spans="1:6" x14ac:dyDescent="0.25">
      <c r="A9" t="s">
        <v>9</v>
      </c>
      <c r="B9">
        <v>2</v>
      </c>
      <c r="C9">
        <v>13930335.5</v>
      </c>
      <c r="D9">
        <v>9334727</v>
      </c>
      <c r="E9">
        <v>18525944</v>
      </c>
      <c r="F9">
        <v>4595608.5</v>
      </c>
    </row>
    <row r="10" spans="1:6" x14ac:dyDescent="0.25">
      <c r="A10" t="s">
        <v>10</v>
      </c>
      <c r="B10">
        <v>1</v>
      </c>
      <c r="C10">
        <v>2373985</v>
      </c>
      <c r="D10">
        <v>1921447</v>
      </c>
      <c r="E10">
        <v>2826523</v>
      </c>
      <c r="F10">
        <v>452538</v>
      </c>
    </row>
    <row r="11" spans="1:6" x14ac:dyDescent="0.25">
      <c r="A11" t="s">
        <v>10</v>
      </c>
      <c r="B11">
        <v>2</v>
      </c>
      <c r="C11">
        <v>14013507.5</v>
      </c>
      <c r="D11">
        <v>13039596</v>
      </c>
      <c r="E11">
        <v>14987419</v>
      </c>
      <c r="F11">
        <v>973911.5</v>
      </c>
    </row>
    <row r="12" spans="1:6" ht="15" customHeight="1" x14ac:dyDescent="0.25">
      <c r="A12" s="2" t="s">
        <v>11</v>
      </c>
      <c r="B12">
        <v>1</v>
      </c>
      <c r="C12">
        <v>2358520</v>
      </c>
      <c r="D12">
        <v>2222704</v>
      </c>
      <c r="E12">
        <v>2494336</v>
      </c>
      <c r="F12">
        <v>135816</v>
      </c>
    </row>
    <row r="13" spans="1:6" x14ac:dyDescent="0.25">
      <c r="A13" t="s">
        <v>11</v>
      </c>
      <c r="B13">
        <v>2</v>
      </c>
      <c r="C13">
        <v>17119772</v>
      </c>
      <c r="D13">
        <v>16929086</v>
      </c>
      <c r="E13">
        <v>17310458</v>
      </c>
      <c r="F13">
        <v>190686</v>
      </c>
    </row>
    <row r="14" spans="1:6" x14ac:dyDescent="0.25">
      <c r="A14" t="s">
        <v>12</v>
      </c>
      <c r="B14">
        <v>1</v>
      </c>
      <c r="C14">
        <v>3196370.5</v>
      </c>
      <c r="D14">
        <v>2780726</v>
      </c>
      <c r="E14">
        <v>3612015</v>
      </c>
      <c r="F14">
        <v>415644.5</v>
      </c>
    </row>
    <row r="15" spans="1:6" x14ac:dyDescent="0.25">
      <c r="A15" t="s">
        <v>12</v>
      </c>
      <c r="B15">
        <v>2</v>
      </c>
      <c r="C15">
        <v>16190762.5</v>
      </c>
      <c r="D15">
        <v>14555128</v>
      </c>
      <c r="E15">
        <v>17826397</v>
      </c>
      <c r="F15">
        <v>1635634.5</v>
      </c>
    </row>
    <row r="16" spans="1:6" x14ac:dyDescent="0.25">
      <c r="A16" t="s">
        <v>13</v>
      </c>
      <c r="B16">
        <v>1</v>
      </c>
      <c r="C16">
        <v>980108</v>
      </c>
      <c r="D16">
        <v>66553</v>
      </c>
      <c r="E16">
        <v>1893663</v>
      </c>
      <c r="F16">
        <v>913555</v>
      </c>
    </row>
    <row r="17" spans="1:6" x14ac:dyDescent="0.25">
      <c r="A17" t="s">
        <v>13</v>
      </c>
      <c r="B17">
        <v>2</v>
      </c>
      <c r="C17">
        <v>22610233.5</v>
      </c>
      <c r="D17">
        <v>16777439</v>
      </c>
      <c r="E17">
        <v>28443028</v>
      </c>
      <c r="F17">
        <v>5832794.5</v>
      </c>
    </row>
    <row r="20" spans="1:6" ht="15" customHeight="1" x14ac:dyDescent="0.25">
      <c r="A20" s="2" t="s">
        <v>14</v>
      </c>
    </row>
    <row r="21" spans="1:6" x14ac:dyDescent="0.25">
      <c r="A21" t="s">
        <v>6</v>
      </c>
      <c r="C21">
        <v>10928833.75</v>
      </c>
      <c r="D21">
        <v>1932873</v>
      </c>
      <c r="E21">
        <v>22772649</v>
      </c>
      <c r="F21">
        <v>7636135.8560924502</v>
      </c>
    </row>
    <row r="22" spans="1:6" x14ac:dyDescent="0.25">
      <c r="A22" t="s">
        <v>7</v>
      </c>
      <c r="C22">
        <v>8016494.25</v>
      </c>
      <c r="D22">
        <v>1376048</v>
      </c>
      <c r="E22">
        <v>14995473</v>
      </c>
      <c r="F22">
        <v>5493697.1140541798</v>
      </c>
    </row>
    <row r="23" spans="1:6" ht="15" customHeight="1" x14ac:dyDescent="0.25">
      <c r="A23" s="2" t="s">
        <v>8</v>
      </c>
      <c r="C23">
        <v>6695505</v>
      </c>
      <c r="D23">
        <v>468238</v>
      </c>
      <c r="E23">
        <v>12922772</v>
      </c>
      <c r="F23">
        <v>6227267</v>
      </c>
    </row>
    <row r="24" spans="1:6" x14ac:dyDescent="0.25">
      <c r="A24" t="s">
        <v>9</v>
      </c>
      <c r="C24">
        <v>8182894.5</v>
      </c>
      <c r="D24">
        <v>1523626</v>
      </c>
      <c r="E24">
        <v>18525944</v>
      </c>
      <c r="F24">
        <v>6633897.91042908</v>
      </c>
    </row>
    <row r="25" spans="1:6" x14ac:dyDescent="0.25">
      <c r="A25" t="s">
        <v>10</v>
      </c>
      <c r="C25">
        <v>8193746.25</v>
      </c>
      <c r="D25">
        <v>1921447</v>
      </c>
      <c r="E25">
        <v>14987419</v>
      </c>
      <c r="F25">
        <v>5869094.3196237404</v>
      </c>
    </row>
    <row r="26" spans="1:6" x14ac:dyDescent="0.25">
      <c r="A26" t="s">
        <v>11</v>
      </c>
      <c r="C26">
        <v>9739146</v>
      </c>
      <c r="D26">
        <v>2222704</v>
      </c>
      <c r="E26">
        <v>17310458</v>
      </c>
      <c r="F26">
        <v>7382482.2194233602</v>
      </c>
    </row>
    <row r="27" spans="1:6" x14ac:dyDescent="0.25">
      <c r="A27" t="s">
        <v>12</v>
      </c>
      <c r="C27">
        <v>9693566.5</v>
      </c>
      <c r="D27">
        <v>2780726</v>
      </c>
      <c r="E27">
        <v>17826397</v>
      </c>
      <c r="F27">
        <v>6605875.1234337799</v>
      </c>
    </row>
    <row r="28" spans="1:6" ht="15" customHeight="1" x14ac:dyDescent="0.25">
      <c r="A28" s="2" t="s">
        <v>13</v>
      </c>
      <c r="C28">
        <v>11795170.75</v>
      </c>
      <c r="D28">
        <v>66553</v>
      </c>
      <c r="E28">
        <v>28443028</v>
      </c>
      <c r="F28">
        <v>11592826.208266299</v>
      </c>
    </row>
    <row r="31" spans="1:6" ht="15" customHeight="1" x14ac:dyDescent="0.25">
      <c r="A31" s="2" t="s">
        <v>15</v>
      </c>
    </row>
    <row r="32" spans="1:6" x14ac:dyDescent="0.25">
      <c r="A32" t="s">
        <v>16</v>
      </c>
      <c r="B32">
        <v>1</v>
      </c>
      <c r="C32">
        <v>2</v>
      </c>
    </row>
    <row r="33" spans="1:5" x14ac:dyDescent="0.25">
      <c r="A33" t="s">
        <v>6</v>
      </c>
      <c r="B33">
        <v>4719898</v>
      </c>
      <c r="C33">
        <v>17137769.5</v>
      </c>
    </row>
    <row r="34" spans="1:5" x14ac:dyDescent="0.25">
      <c r="A34" t="s">
        <v>7</v>
      </c>
      <c r="B34">
        <v>2745363</v>
      </c>
      <c r="C34">
        <v>13287625.5</v>
      </c>
    </row>
    <row r="35" spans="1:5" ht="15" customHeight="1" x14ac:dyDescent="0.25">
      <c r="A35" s="2" t="s">
        <v>8</v>
      </c>
      <c r="B35">
        <v>468238</v>
      </c>
      <c r="C35">
        <v>12922772</v>
      </c>
    </row>
    <row r="36" spans="1:5" ht="15" customHeight="1" x14ac:dyDescent="0.25">
      <c r="A36" s="2" t="s">
        <v>9</v>
      </c>
      <c r="B36">
        <v>2435453.5</v>
      </c>
      <c r="C36">
        <v>13930335.5</v>
      </c>
    </row>
    <row r="37" spans="1:5" x14ac:dyDescent="0.25">
      <c r="A37" t="s">
        <v>10</v>
      </c>
      <c r="B37">
        <v>2373985</v>
      </c>
      <c r="C37">
        <v>14013507.5</v>
      </c>
    </row>
    <row r="38" spans="1:5" x14ac:dyDescent="0.25">
      <c r="A38" t="s">
        <v>11</v>
      </c>
      <c r="B38">
        <v>2358520</v>
      </c>
      <c r="C38">
        <v>17119772</v>
      </c>
    </row>
    <row r="39" spans="1:5" ht="15" customHeight="1" x14ac:dyDescent="0.25">
      <c r="A39" s="2" t="s">
        <v>12</v>
      </c>
      <c r="B39">
        <v>3196370.5</v>
      </c>
      <c r="C39">
        <v>16190762.5</v>
      </c>
    </row>
    <row r="40" spans="1:5" x14ac:dyDescent="0.25">
      <c r="A40" t="s">
        <v>13</v>
      </c>
      <c r="B40">
        <v>980108</v>
      </c>
      <c r="C40">
        <v>22610233.5</v>
      </c>
    </row>
    <row r="43" spans="1:5" ht="15" customHeight="1" x14ac:dyDescent="0.25">
      <c r="A43" s="2" t="s">
        <v>17</v>
      </c>
    </row>
    <row r="44" spans="1:5" x14ac:dyDescent="0.25">
      <c r="A44" t="s">
        <v>16</v>
      </c>
      <c r="B44">
        <v>1</v>
      </c>
      <c r="C44">
        <v>1</v>
      </c>
      <c r="D44">
        <v>2</v>
      </c>
      <c r="E44">
        <v>2</v>
      </c>
    </row>
    <row r="45" spans="1:5" x14ac:dyDescent="0.25">
      <c r="A45" t="s">
        <v>6</v>
      </c>
      <c r="B45">
        <v>7506923</v>
      </c>
      <c r="C45">
        <v>1932873</v>
      </c>
      <c r="D45">
        <v>11502890</v>
      </c>
      <c r="E45">
        <v>22772649</v>
      </c>
    </row>
    <row r="46" spans="1:5" x14ac:dyDescent="0.25">
      <c r="A46" t="s">
        <v>7</v>
      </c>
      <c r="B46">
        <v>4114678</v>
      </c>
      <c r="C46">
        <v>1376048</v>
      </c>
      <c r="D46">
        <v>11579778</v>
      </c>
      <c r="E46">
        <v>14995473</v>
      </c>
    </row>
    <row r="47" spans="1:5" ht="15" customHeight="1" x14ac:dyDescent="0.25">
      <c r="A47" s="2" t="s">
        <v>8</v>
      </c>
      <c r="B47">
        <v>468238</v>
      </c>
      <c r="C47">
        <v>468238</v>
      </c>
      <c r="D47">
        <v>12922772</v>
      </c>
      <c r="E47">
        <v>12922772</v>
      </c>
    </row>
    <row r="48" spans="1:5" x14ac:dyDescent="0.25">
      <c r="A48" t="s">
        <v>9</v>
      </c>
      <c r="B48">
        <v>1523626</v>
      </c>
      <c r="C48">
        <v>3347281</v>
      </c>
      <c r="D48">
        <v>18525944</v>
      </c>
      <c r="E48">
        <v>9334727</v>
      </c>
    </row>
    <row r="49" spans="1:5" x14ac:dyDescent="0.25">
      <c r="A49" t="s">
        <v>10</v>
      </c>
      <c r="B49">
        <v>2826523</v>
      </c>
      <c r="C49">
        <v>1921447</v>
      </c>
      <c r="D49">
        <v>13039596</v>
      </c>
      <c r="E49">
        <v>14987419</v>
      </c>
    </row>
    <row r="50" spans="1:5" x14ac:dyDescent="0.25">
      <c r="A50" t="s">
        <v>11</v>
      </c>
      <c r="B50">
        <v>2222704</v>
      </c>
      <c r="C50">
        <v>2494336</v>
      </c>
      <c r="D50">
        <v>17310458</v>
      </c>
      <c r="E50">
        <v>16929086</v>
      </c>
    </row>
    <row r="51" spans="1:5" ht="15" customHeight="1" x14ac:dyDescent="0.25">
      <c r="A51" s="2" t="s">
        <v>12</v>
      </c>
      <c r="B51">
        <v>3612015</v>
      </c>
      <c r="C51">
        <v>2780726</v>
      </c>
      <c r="D51">
        <v>14555128</v>
      </c>
      <c r="E51">
        <v>17826397</v>
      </c>
    </row>
    <row r="52" spans="1:5" x14ac:dyDescent="0.25">
      <c r="A52" t="s">
        <v>13</v>
      </c>
      <c r="B52">
        <v>1893663</v>
      </c>
      <c r="C52">
        <v>66553</v>
      </c>
      <c r="D52">
        <v>16777439</v>
      </c>
      <c r="E52">
        <v>28443028</v>
      </c>
    </row>
    <row r="59" spans="1:5" ht="15" customHeight="1" x14ac:dyDescent="0.25">
      <c r="A59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2"/>
  <sheetViews>
    <sheetView zoomScaleNormal="100" workbookViewId="0">
      <selection activeCell="H21" sqref="H21"/>
    </sheetView>
  </sheetViews>
  <sheetFormatPr defaultColWidth="8.5703125" defaultRowHeight="15" x14ac:dyDescent="0.25"/>
  <sheetData>
    <row r="1" spans="1:23" ht="15" customHeight="1" x14ac:dyDescent="0.25">
      <c r="A1" s="2" t="s">
        <v>15</v>
      </c>
    </row>
    <row r="2" spans="1:23" x14ac:dyDescent="0.25">
      <c r="B2" t="s">
        <v>18</v>
      </c>
      <c r="C2" t="s">
        <v>18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19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  <c r="V2" t="s">
        <v>18</v>
      </c>
      <c r="W2" t="s">
        <v>19</v>
      </c>
    </row>
    <row r="3" spans="1:23" x14ac:dyDescent="0.25"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  <c r="V3">
        <v>2</v>
      </c>
      <c r="W3">
        <v>2</v>
      </c>
    </row>
    <row r="4" spans="1:23" x14ac:dyDescent="0.25">
      <c r="A4" t="s">
        <v>16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</v>
      </c>
      <c r="N4">
        <v>2</v>
      </c>
      <c r="O4">
        <v>3</v>
      </c>
      <c r="P4">
        <v>4</v>
      </c>
      <c r="Q4">
        <v>5</v>
      </c>
      <c r="R4">
        <v>6</v>
      </c>
      <c r="S4">
        <v>7</v>
      </c>
      <c r="T4">
        <v>8</v>
      </c>
      <c r="U4">
        <v>9</v>
      </c>
      <c r="V4">
        <v>10</v>
      </c>
      <c r="W4">
        <v>11</v>
      </c>
    </row>
    <row r="5" spans="1:23" x14ac:dyDescent="0.25">
      <c r="A5" t="s">
        <v>6</v>
      </c>
      <c r="B5">
        <v>3713.0909090909099</v>
      </c>
      <c r="C5">
        <v>202575.636363636</v>
      </c>
      <c r="D5">
        <v>42197.090909090897</v>
      </c>
      <c r="E5">
        <v>1940.72727272727</v>
      </c>
      <c r="F5">
        <v>399818.454545455</v>
      </c>
      <c r="G5">
        <v>539817.90909090894</v>
      </c>
      <c r="H5">
        <v>85608</v>
      </c>
      <c r="I5">
        <v>550055.818181818</v>
      </c>
      <c r="J5">
        <v>877894.90909090894</v>
      </c>
      <c r="K5">
        <v>784664</v>
      </c>
      <c r="L5">
        <v>858163.27272727306</v>
      </c>
      <c r="M5">
        <v>2331558</v>
      </c>
      <c r="N5">
        <v>2343200.5454545501</v>
      </c>
      <c r="O5">
        <v>2892774.1818181798</v>
      </c>
      <c r="P5">
        <v>2328623.4545454602</v>
      </c>
      <c r="Q5">
        <v>1528782.4545454599</v>
      </c>
      <c r="R5">
        <v>2185735</v>
      </c>
      <c r="S5">
        <v>4219908.4545454504</v>
      </c>
      <c r="T5">
        <v>2776141.36363636</v>
      </c>
      <c r="U5">
        <v>4874671.8181818202</v>
      </c>
      <c r="V5">
        <v>3230483.36363636</v>
      </c>
      <c r="W5">
        <v>3115958.0909090899</v>
      </c>
    </row>
    <row r="6" spans="1:23" x14ac:dyDescent="0.25">
      <c r="A6" t="s">
        <v>7</v>
      </c>
      <c r="B6">
        <v>5249.2727272727298</v>
      </c>
      <c r="C6">
        <v>12166.909090909099</v>
      </c>
      <c r="D6">
        <v>181986.818181818</v>
      </c>
      <c r="E6">
        <v>128347.636363636</v>
      </c>
      <c r="F6">
        <v>36255.727272727301</v>
      </c>
      <c r="G6">
        <v>825059.09090909106</v>
      </c>
      <c r="H6">
        <v>358118.909090909</v>
      </c>
      <c r="I6">
        <v>791803.27272727306</v>
      </c>
      <c r="J6">
        <v>570884.54545454495</v>
      </c>
      <c r="K6">
        <v>210298.090909091</v>
      </c>
      <c r="L6">
        <v>499156.909090909</v>
      </c>
      <c r="M6">
        <v>2385978.1818181798</v>
      </c>
      <c r="N6">
        <v>1322167.0909090899</v>
      </c>
      <c r="O6">
        <v>2019153.5454545501</v>
      </c>
      <c r="P6">
        <v>2886280.36363636</v>
      </c>
      <c r="Q6">
        <v>2084817.5454545501</v>
      </c>
      <c r="R6">
        <v>4003610.2727272701</v>
      </c>
      <c r="S6">
        <v>3167469.2727272701</v>
      </c>
      <c r="T6">
        <v>3687994.4545454602</v>
      </c>
      <c r="U6">
        <v>4305520.2727272697</v>
      </c>
      <c r="V6">
        <v>3834034.1818181798</v>
      </c>
      <c r="W6">
        <v>2415931.9090909101</v>
      </c>
    </row>
    <row r="7" spans="1:23" x14ac:dyDescent="0.25">
      <c r="A7" t="s">
        <v>8</v>
      </c>
      <c r="B7">
        <v>576215.636363636</v>
      </c>
      <c r="C7">
        <v>410042.363636364</v>
      </c>
      <c r="D7">
        <v>367743.090909091</v>
      </c>
      <c r="E7">
        <v>348384.909090909</v>
      </c>
      <c r="F7">
        <v>273347.454545455</v>
      </c>
      <c r="G7">
        <v>319149.090909091</v>
      </c>
      <c r="H7">
        <v>300012.363636364</v>
      </c>
      <c r="I7">
        <v>296502.909090909</v>
      </c>
      <c r="J7">
        <v>282195.272727273</v>
      </c>
      <c r="K7">
        <v>121059.818181818</v>
      </c>
      <c r="L7">
        <v>85134.181818181794</v>
      </c>
      <c r="M7">
        <v>2905194.5454545501</v>
      </c>
      <c r="N7">
        <v>2844254.5454545501</v>
      </c>
      <c r="O7">
        <v>2776271.0909090899</v>
      </c>
      <c r="P7">
        <v>2735221.8181818202</v>
      </c>
      <c r="Q7">
        <v>2701204</v>
      </c>
      <c r="R7">
        <v>3177064.36363636</v>
      </c>
      <c r="S7">
        <v>3139532.1818181798</v>
      </c>
      <c r="T7">
        <v>3057740.5454545501</v>
      </c>
      <c r="U7">
        <v>2940141.8181818202</v>
      </c>
      <c r="V7">
        <v>2847255.2727272701</v>
      </c>
      <c r="W7">
        <v>2349594.9090909101</v>
      </c>
    </row>
    <row r="8" spans="1:23" x14ac:dyDescent="0.25">
      <c r="A8" t="s">
        <v>9</v>
      </c>
      <c r="B8">
        <v>10944.5454545455</v>
      </c>
      <c r="C8">
        <v>446620.54545454599</v>
      </c>
      <c r="D8">
        <v>129223.727272727</v>
      </c>
      <c r="E8">
        <v>4513.0909090909099</v>
      </c>
      <c r="F8">
        <v>325927.454545455</v>
      </c>
      <c r="G8">
        <v>651110.181818182</v>
      </c>
      <c r="H8">
        <v>8207.4545454545496</v>
      </c>
      <c r="I8">
        <v>519531.454545455</v>
      </c>
      <c r="J8">
        <v>808451.45454545505</v>
      </c>
      <c r="K8">
        <v>172612.818181818</v>
      </c>
      <c r="L8">
        <v>442809.727272727</v>
      </c>
      <c r="M8">
        <v>3079549.4545454602</v>
      </c>
      <c r="N8">
        <v>3089271.8181818202</v>
      </c>
      <c r="O8">
        <v>2616916.8181818202</v>
      </c>
      <c r="P8">
        <v>2486379.4545454602</v>
      </c>
      <c r="Q8">
        <v>2823153.7272727299</v>
      </c>
      <c r="R8">
        <v>2703099.4545454602</v>
      </c>
      <c r="S8">
        <v>4443721.1818181798</v>
      </c>
      <c r="T8">
        <v>2233257.4545454602</v>
      </c>
      <c r="U8">
        <v>2996011.0909090899</v>
      </c>
      <c r="V8">
        <v>2406063.1818181798</v>
      </c>
      <c r="W8">
        <v>2532788.2727272701</v>
      </c>
    </row>
    <row r="9" spans="1:23" x14ac:dyDescent="0.25">
      <c r="A9" t="s">
        <v>10</v>
      </c>
      <c r="B9">
        <v>676447.72727272694</v>
      </c>
      <c r="C9">
        <v>492945.727272727</v>
      </c>
      <c r="D9">
        <v>333297.727272727</v>
      </c>
      <c r="E9">
        <v>6969.2727272727298</v>
      </c>
      <c r="F9">
        <v>167219.727272727</v>
      </c>
      <c r="G9">
        <v>361534.181818182</v>
      </c>
      <c r="H9">
        <v>210260.090909091</v>
      </c>
      <c r="I9">
        <v>228298.090909091</v>
      </c>
      <c r="J9">
        <v>147535.818181818</v>
      </c>
      <c r="K9">
        <v>314115.636363636</v>
      </c>
      <c r="L9">
        <v>431633.636363636</v>
      </c>
      <c r="M9">
        <v>2195136.2727272701</v>
      </c>
      <c r="N9">
        <v>1616838.0909090899</v>
      </c>
      <c r="O9">
        <v>2675716.9090909101</v>
      </c>
      <c r="P9">
        <v>2421317.1818181798</v>
      </c>
      <c r="Q9">
        <v>2933124.0909090899</v>
      </c>
      <c r="R9">
        <v>3270551.2727272701</v>
      </c>
      <c r="S9">
        <v>2652850</v>
      </c>
      <c r="T9">
        <v>3904390</v>
      </c>
      <c r="U9">
        <v>2915613.8181818202</v>
      </c>
      <c r="V9">
        <v>4724369.3636363596</v>
      </c>
      <c r="W9">
        <v>2547910.4545454602</v>
      </c>
    </row>
    <row r="10" spans="1:23" x14ac:dyDescent="0.25">
      <c r="A10" t="s">
        <v>11</v>
      </c>
      <c r="B10">
        <v>627997.363636364</v>
      </c>
      <c r="C10">
        <v>182064.363636364</v>
      </c>
      <c r="D10">
        <v>1119.3636363636399</v>
      </c>
      <c r="E10">
        <v>383226.636363636</v>
      </c>
      <c r="F10">
        <v>427478.454545455</v>
      </c>
      <c r="G10">
        <v>97776</v>
      </c>
      <c r="H10">
        <v>56877.4545454545</v>
      </c>
      <c r="I10">
        <v>368677.636363636</v>
      </c>
      <c r="J10">
        <v>255313.727272727</v>
      </c>
      <c r="K10">
        <v>552465.45454545505</v>
      </c>
      <c r="L10">
        <v>428821.818181818</v>
      </c>
      <c r="M10">
        <v>1692031.4545454599</v>
      </c>
      <c r="N10">
        <v>3340435.36363636</v>
      </c>
      <c r="O10">
        <v>2361618.4545454602</v>
      </c>
      <c r="P10">
        <v>2182636.9090909101</v>
      </c>
      <c r="Q10">
        <v>3620660.1818181798</v>
      </c>
      <c r="R10">
        <v>2795120.9090909101</v>
      </c>
      <c r="S10">
        <v>3065654.36363636</v>
      </c>
      <c r="T10">
        <v>3372029.7272727299</v>
      </c>
      <c r="U10">
        <v>2810935</v>
      </c>
      <c r="V10">
        <v>3120001.9090909101</v>
      </c>
      <c r="W10">
        <v>3112685.8181818202</v>
      </c>
    </row>
    <row r="11" spans="1:23" x14ac:dyDescent="0.25">
      <c r="A11" t="s">
        <v>12</v>
      </c>
      <c r="B11">
        <v>226929.090909091</v>
      </c>
      <c r="C11">
        <v>5698.9090909090901</v>
      </c>
      <c r="D11">
        <v>303601.454545455</v>
      </c>
      <c r="E11">
        <v>861769</v>
      </c>
      <c r="F11">
        <v>366708.54545454599</v>
      </c>
      <c r="G11">
        <v>245794.545454545</v>
      </c>
      <c r="H11">
        <v>13001</v>
      </c>
      <c r="I11">
        <v>5998.2727272727298</v>
      </c>
      <c r="J11">
        <v>665423</v>
      </c>
      <c r="K11">
        <v>46704.727272727301</v>
      </c>
      <c r="L11">
        <v>581158.27272727306</v>
      </c>
      <c r="M11">
        <v>2536033.36363636</v>
      </c>
      <c r="N11">
        <v>2900074.2727272701</v>
      </c>
      <c r="O11">
        <v>3562020.2727272701</v>
      </c>
      <c r="P11">
        <v>1854782.4545454599</v>
      </c>
      <c r="Q11">
        <v>3226715.2727272701</v>
      </c>
      <c r="R11">
        <v>2697735.8181818202</v>
      </c>
      <c r="S11">
        <v>3040251.9090909101</v>
      </c>
      <c r="T11">
        <v>2626757.7272727299</v>
      </c>
      <c r="U11">
        <v>3279134.0909090899</v>
      </c>
      <c r="V11">
        <v>2663865.2727272701</v>
      </c>
      <c r="W11">
        <v>2943775</v>
      </c>
    </row>
    <row r="12" spans="1:23" x14ac:dyDescent="0.25">
      <c r="A12" t="s">
        <v>13</v>
      </c>
      <c r="B12">
        <v>507743.272727273</v>
      </c>
      <c r="C12">
        <v>159085</v>
      </c>
      <c r="D12">
        <v>378524.727272727</v>
      </c>
      <c r="E12">
        <v>314233.090909091</v>
      </c>
      <c r="F12">
        <v>268071.818181818</v>
      </c>
      <c r="G12">
        <v>509262.909090909</v>
      </c>
      <c r="H12">
        <v>531147.45454545505</v>
      </c>
      <c r="I12">
        <v>239788.454545455</v>
      </c>
      <c r="J12">
        <v>276897</v>
      </c>
      <c r="K12">
        <v>67833.5454545455</v>
      </c>
      <c r="L12">
        <v>178201.454545455</v>
      </c>
      <c r="M12">
        <v>1704174.7272727301</v>
      </c>
      <c r="N12">
        <v>1921715.81818182</v>
      </c>
      <c r="O12">
        <v>2784622.5454545501</v>
      </c>
      <c r="P12">
        <v>1653604.0909090899</v>
      </c>
      <c r="Q12">
        <v>3409651.63636364</v>
      </c>
      <c r="R12">
        <v>3265925.9090909101</v>
      </c>
      <c r="S12">
        <v>3722021.1818181798</v>
      </c>
      <c r="T12">
        <v>3179266</v>
      </c>
      <c r="U12">
        <v>2893490.0909090899</v>
      </c>
      <c r="V12">
        <v>2973457.63636364</v>
      </c>
      <c r="W12">
        <v>4110951.5454545501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Charts</vt:lpstr>
      <vt:lpstr>Data Age</vt:lpstr>
      <vt:lpstr>Energy</vt:lpstr>
      <vt:lpstr>Makespan</vt:lpstr>
      <vt:lpstr>Success Rate</vt:lpstr>
      <vt:lpstr>Load Edge</vt:lpstr>
      <vt:lpstr>Load Cloud</vt:lpstr>
      <vt:lpstr>Loads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Mehrab</dc:creator>
  <dc:description/>
  <cp:lastModifiedBy>Mehrab Toghani</cp:lastModifiedBy>
  <cp:revision>2</cp:revision>
  <cp:lastPrinted>2025-04-17T08:53:50Z</cp:lastPrinted>
  <dcterms:created xsi:type="dcterms:W3CDTF">2015-06-05T18:17:20Z</dcterms:created>
  <dcterms:modified xsi:type="dcterms:W3CDTF">2025-04-22T20:41:56Z</dcterms:modified>
  <dc:language>en-US</dc:language>
</cp:coreProperties>
</file>