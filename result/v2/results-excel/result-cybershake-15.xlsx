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69618392bf80cf35/Desktop/quest/new/results-excel/"/>
    </mc:Choice>
  </mc:AlternateContent>
  <xr:revisionPtr revIDLastSave="11" documentId="11_B3FF40F9713E60A7EE9CED52F500C8F6C7EBEB94" xr6:coauthVersionLast="47" xr6:coauthVersionMax="47" xr10:uidLastSave="{6CD810E8-ACA5-47F1-B77A-74D46F9A46F5}"/>
  <bookViews>
    <workbookView xWindow="3855" yWindow="3855" windowWidth="21600" windowHeight="11295" tabRatio="500" xr2:uid="{00000000-000D-0000-FFFF-FFFF00000000}"/>
  </bookViews>
  <sheets>
    <sheet name="Charts" sheetId="9" r:id="rId1"/>
    <sheet name="Data Age" sheetId="2" r:id="rId2"/>
    <sheet name="Energy" sheetId="3" r:id="rId3"/>
    <sheet name="Makespan" sheetId="4" r:id="rId4"/>
    <sheet name="Success Rate" sheetId="5" r:id="rId5"/>
    <sheet name="Load Edge" sheetId="6" r:id="rId6"/>
    <sheet name="Load Cloud" sheetId="7" r:id="rId7"/>
    <sheet name="Loads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75" i="9" l="1"/>
  <c r="U90" i="9" s="1"/>
  <c r="T75" i="9"/>
  <c r="T90" i="9" s="1"/>
  <c r="S75" i="9"/>
  <c r="S90" i="9" s="1"/>
  <c r="U74" i="9"/>
  <c r="T74" i="9"/>
  <c r="S74" i="9"/>
  <c r="U73" i="9"/>
  <c r="T73" i="9"/>
  <c r="T88" i="9" s="1"/>
  <c r="S73" i="9"/>
  <c r="S88" i="9" s="1"/>
  <c r="U72" i="9"/>
  <c r="U87" i="9" s="1"/>
  <c r="T72" i="9"/>
  <c r="T87" i="9" s="1"/>
  <c r="S72" i="9"/>
  <c r="U71" i="9"/>
  <c r="T71" i="9"/>
  <c r="S71" i="9"/>
  <c r="U70" i="9"/>
  <c r="U85" i="9" s="1"/>
  <c r="T70" i="9"/>
  <c r="T85" i="9" s="1"/>
  <c r="S70" i="9"/>
  <c r="S85" i="9" s="1"/>
  <c r="U69" i="9"/>
  <c r="U84" i="9" s="1"/>
  <c r="T69" i="9"/>
  <c r="S69" i="9"/>
  <c r="U68" i="9"/>
  <c r="T68" i="9"/>
  <c r="S68" i="9"/>
  <c r="U44" i="9"/>
  <c r="T44" i="9"/>
  <c r="S44" i="9"/>
  <c r="U43" i="9"/>
  <c r="U58" i="9" s="1"/>
  <c r="T43" i="9"/>
  <c r="T58" i="9" s="1"/>
  <c r="S43" i="9"/>
  <c r="S58" i="9" s="1"/>
  <c r="U42" i="9"/>
  <c r="U57" i="9" s="1"/>
  <c r="T42" i="9"/>
  <c r="T57" i="9" s="1"/>
  <c r="S42" i="9"/>
  <c r="S57" i="9" s="1"/>
  <c r="U41" i="9"/>
  <c r="U56" i="9" s="1"/>
  <c r="T41" i="9"/>
  <c r="T56" i="9" s="1"/>
  <c r="S41" i="9"/>
  <c r="U40" i="9"/>
  <c r="T40" i="9"/>
  <c r="S40" i="9"/>
  <c r="U39" i="9"/>
  <c r="T39" i="9"/>
  <c r="S39" i="9"/>
  <c r="U38" i="9"/>
  <c r="T38" i="9"/>
  <c r="S38" i="9"/>
  <c r="U37" i="9"/>
  <c r="U59" i="9" s="1"/>
  <c r="T37" i="9"/>
  <c r="T53" i="9" s="1"/>
  <c r="S37" i="9"/>
  <c r="S53" i="9" s="1"/>
  <c r="U10" i="9"/>
  <c r="T10" i="9"/>
  <c r="S10" i="9"/>
  <c r="U9" i="9"/>
  <c r="T9" i="9"/>
  <c r="S9" i="9"/>
  <c r="U8" i="9"/>
  <c r="T8" i="9"/>
  <c r="S8" i="9"/>
  <c r="U7" i="9"/>
  <c r="T7" i="9"/>
  <c r="S7" i="9"/>
  <c r="U6" i="9"/>
  <c r="T6" i="9"/>
  <c r="S6" i="9"/>
  <c r="U5" i="9"/>
  <c r="U20" i="9" s="1"/>
  <c r="T5" i="9"/>
  <c r="T20" i="9" s="1"/>
  <c r="S5" i="9"/>
  <c r="S20" i="9" s="1"/>
  <c r="U4" i="9"/>
  <c r="U19" i="9" s="1"/>
  <c r="T4" i="9"/>
  <c r="S4" i="9"/>
  <c r="U3" i="9"/>
  <c r="T3" i="9"/>
  <c r="S3" i="9"/>
  <c r="S18" i="9" s="1"/>
  <c r="U89" i="9"/>
  <c r="T89" i="9"/>
  <c r="S89" i="9"/>
  <c r="U88" i="9"/>
  <c r="T84" i="9"/>
  <c r="S84" i="9"/>
  <c r="U83" i="9"/>
  <c r="T83" i="9"/>
  <c r="S83" i="9"/>
  <c r="U54" i="9"/>
  <c r="T54" i="9"/>
  <c r="S54" i="9"/>
  <c r="U53" i="9"/>
  <c r="U52" i="9"/>
  <c r="T52" i="9"/>
  <c r="S52" i="9"/>
  <c r="U25" i="9"/>
  <c r="T25" i="9"/>
  <c r="S25" i="9"/>
  <c r="U24" i="9"/>
  <c r="T24" i="9"/>
  <c r="S24" i="9"/>
  <c r="U23" i="9"/>
  <c r="T23" i="9"/>
  <c r="S23" i="9"/>
  <c r="U22" i="9"/>
  <c r="T22" i="9"/>
  <c r="T19" i="9"/>
  <c r="S19" i="9"/>
  <c r="U18" i="9"/>
  <c r="T18" i="9"/>
  <c r="S59" i="9" l="1"/>
  <c r="T59" i="9"/>
  <c r="S21" i="9"/>
  <c r="S55" i="9"/>
  <c r="S86" i="9"/>
  <c r="T21" i="9"/>
  <c r="T55" i="9"/>
  <c r="T86" i="9"/>
  <c r="U21" i="9"/>
  <c r="U55" i="9"/>
  <c r="U86" i="9"/>
  <c r="S22" i="9"/>
  <c r="S56" i="9"/>
  <c r="S87" i="9"/>
</calcChain>
</file>

<file path=xl/sharedStrings.xml><?xml version="1.0" encoding="utf-8"?>
<sst xmlns="http://schemas.openxmlformats.org/spreadsheetml/2006/main" count="511" uniqueCount="23">
  <si>
    <t>Algorithm</t>
  </si>
  <si>
    <t>Load</t>
  </si>
  <si>
    <t>Average</t>
  </si>
  <si>
    <t>Min</t>
  </si>
  <si>
    <t>Max</t>
  </si>
  <si>
    <t>Std Dev</t>
  </si>
  <si>
    <t>QUEST</t>
  </si>
  <si>
    <t>QUEST_NDVFS</t>
  </si>
  <si>
    <t>Fuzzy</t>
  </si>
  <si>
    <t>NSGA3</t>
  </si>
  <si>
    <t>MQGA</t>
  </si>
  <si>
    <t>Greedy</t>
  </si>
  <si>
    <t>MOPSO</t>
  </si>
  <si>
    <t>RL</t>
  </si>
  <si>
    <t>Summary by Algorithm</t>
  </si>
  <si>
    <t>Average data for chart</t>
  </si>
  <si>
    <t>Algorithms</t>
  </si>
  <si>
    <t>All data for chart</t>
  </si>
  <si>
    <t>Edge</t>
  </si>
  <si>
    <t>Cloud</t>
  </si>
  <si>
    <t>AoI</t>
  </si>
  <si>
    <t>Energy</t>
  </si>
  <si>
    <t>Makespan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</si>
</sst>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4" x14ac:knownFonts="1">
    <font>
      <sz val="11"/>
      <color theme="1"/>
      <name val="Calibri"/>
      <family val="2"/>
      <charset val="1"/>
    </font>
    <font>
      <b/>
      <sz val="11"/>
      <name val="Cambria"/>
      <family val="1"/>
    </font>
    <font>
      <b/>
      <sz val="11"/>
      <name val="Calibri"/>
      <family val="2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E5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Charts!$R$18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Charts!$S$18:$U$18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43-4446-8C38-695EE1F04818}"/>
            </c:ext>
          </c:extLst>
        </c:ser>
        <c:ser>
          <c:idx val="1"/>
          <c:order val="1"/>
          <c:tx>
            <c:strRef>
              <c:f>Charts!$R$19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Charts!$S$19:$U$19</c:f>
              <c:numCache>
                <c:formatCode>General</c:formatCode>
                <c:ptCount val="3"/>
                <c:pt idx="0">
                  <c:v>0.92995446521675929</c:v>
                </c:pt>
                <c:pt idx="1">
                  <c:v>0.73295762823008448</c:v>
                </c:pt>
                <c:pt idx="2">
                  <c:v>0.74192834468025626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43-4446-8C38-695EE1F04818}"/>
            </c:ext>
          </c:extLst>
        </c:ser>
        <c:ser>
          <c:idx val="2"/>
          <c:order val="2"/>
          <c:tx>
            <c:strRef>
              <c:f>Charts!$R$20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Charts!$S$20:$U$20</c:f>
              <c:numCache>
                <c:formatCode>General</c:formatCode>
                <c:ptCount val="3"/>
                <c:pt idx="0">
                  <c:v>0.93397338842096678</c:v>
                </c:pt>
                <c:pt idx="1">
                  <c:v>0.85263776685664494</c:v>
                </c:pt>
                <c:pt idx="2">
                  <c:v>1.1779365570573868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43-4446-8C38-695EE1F04818}"/>
            </c:ext>
          </c:extLst>
        </c:ser>
        <c:ser>
          <c:idx val="3"/>
          <c:order val="3"/>
          <c:tx>
            <c:strRef>
              <c:f>Charts!$R$21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Charts!$S$21:$U$21</c:f>
              <c:numCache>
                <c:formatCode>General</c:formatCode>
                <c:ptCount val="3"/>
                <c:pt idx="0">
                  <c:v>1.0218029347146633</c:v>
                </c:pt>
                <c:pt idx="1">
                  <c:v>0.96083921012601758</c:v>
                </c:pt>
                <c:pt idx="2">
                  <c:v>1.1255134732232581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43-4446-8C38-695EE1F04818}"/>
            </c:ext>
          </c:extLst>
        </c:ser>
        <c:ser>
          <c:idx val="4"/>
          <c:order val="4"/>
          <c:tx>
            <c:strRef>
              <c:f>Charts!$R$22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Charts!$S$22:$U$22</c:f>
              <c:numCache>
                <c:formatCode>General</c:formatCode>
                <c:ptCount val="3"/>
                <c:pt idx="0">
                  <c:v>0.95024992156879351</c:v>
                </c:pt>
                <c:pt idx="1">
                  <c:v>0.94427713642799072</c:v>
                </c:pt>
                <c:pt idx="2">
                  <c:v>1.0451318705452513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943-4446-8C38-695EE1F04818}"/>
            </c:ext>
          </c:extLst>
        </c:ser>
        <c:ser>
          <c:idx val="5"/>
          <c:order val="5"/>
          <c:tx>
            <c:strRef>
              <c:f>Charts!$R$23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Charts!$S$23:$U$23</c:f>
              <c:numCache>
                <c:formatCode>General</c:formatCode>
                <c:ptCount val="3"/>
                <c:pt idx="0">
                  <c:v>1.0276849224412967</c:v>
                </c:pt>
                <c:pt idx="1">
                  <c:v>1.0841347509234713</c:v>
                </c:pt>
                <c:pt idx="2">
                  <c:v>1.119527987967603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943-4446-8C38-695EE1F04818}"/>
            </c:ext>
          </c:extLst>
        </c:ser>
        <c:ser>
          <c:idx val="6"/>
          <c:order val="6"/>
          <c:tx>
            <c:strRef>
              <c:f>Charts!$R$24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Charts!$S$24:$U$24</c:f>
              <c:numCache>
                <c:formatCode>General</c:formatCode>
                <c:ptCount val="3"/>
                <c:pt idx="0">
                  <c:v>0.99872957907723514</c:v>
                </c:pt>
                <c:pt idx="1">
                  <c:v>0.99666210395546273</c:v>
                </c:pt>
                <c:pt idx="2">
                  <c:v>1.1498825044422705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43-4446-8C38-695EE1F04818}"/>
            </c:ext>
          </c:extLst>
        </c:ser>
        <c:ser>
          <c:idx val="7"/>
          <c:order val="7"/>
          <c:tx>
            <c:strRef>
              <c:f>Charts!$R$25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Charts!$S$25:$U$25</c:f>
              <c:numCache>
                <c:formatCode>General</c:formatCode>
                <c:ptCount val="3"/>
                <c:pt idx="0">
                  <c:v>1.0236067348771229</c:v>
                </c:pt>
                <c:pt idx="1">
                  <c:v>0.96411956024482703</c:v>
                </c:pt>
                <c:pt idx="2">
                  <c:v>1.0859461758761977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943-4446-8C38-695EE1F04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Cybershake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75"/>
              <c:y val="0.848716537029449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1.2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AoI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0.190298268170972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Charts!$R$52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Charts!$S$52:$U$52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BF-48B2-ADB7-035DC70D0223}"/>
            </c:ext>
          </c:extLst>
        </c:ser>
        <c:ser>
          <c:idx val="1"/>
          <c:order val="1"/>
          <c:tx>
            <c:strRef>
              <c:f>Charts!$R$53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Charts!$S$53:$U$53</c:f>
              <c:numCache>
                <c:formatCode>General</c:formatCode>
                <c:ptCount val="3"/>
                <c:pt idx="0">
                  <c:v>1.0258564869182911</c:v>
                </c:pt>
                <c:pt idx="1">
                  <c:v>1.1082850097333037</c:v>
                </c:pt>
                <c:pt idx="2">
                  <c:v>1.1431547449247883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BF-48B2-ADB7-035DC70D0223}"/>
            </c:ext>
          </c:extLst>
        </c:ser>
        <c:ser>
          <c:idx val="2"/>
          <c:order val="2"/>
          <c:tx>
            <c:strRef>
              <c:f>Charts!$R$54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Charts!$S$54:$U$54</c:f>
              <c:numCache>
                <c:formatCode>General</c:formatCode>
                <c:ptCount val="3"/>
                <c:pt idx="0">
                  <c:v>1.0325895568361945</c:v>
                </c:pt>
                <c:pt idx="1">
                  <c:v>1.3158280190685137</c:v>
                </c:pt>
                <c:pt idx="2">
                  <c:v>2.7016385802415064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BF-48B2-ADB7-035DC70D0223}"/>
            </c:ext>
          </c:extLst>
        </c:ser>
        <c:ser>
          <c:idx val="3"/>
          <c:order val="3"/>
          <c:tx>
            <c:strRef>
              <c:f>Charts!$R$55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Charts!$S$55:$U$55</c:f>
              <c:numCache>
                <c:formatCode>General</c:formatCode>
                <c:ptCount val="3"/>
                <c:pt idx="0">
                  <c:v>1.1516549909452285</c:v>
                </c:pt>
                <c:pt idx="1">
                  <c:v>1.4915004471040032</c:v>
                </c:pt>
                <c:pt idx="2">
                  <c:v>2.1256743251849324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BF-48B2-ADB7-035DC70D0223}"/>
            </c:ext>
          </c:extLst>
        </c:ser>
        <c:ser>
          <c:idx val="4"/>
          <c:order val="4"/>
          <c:tx>
            <c:strRef>
              <c:f>Charts!$R$56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Charts!$S$56:$U$56</c:f>
              <c:numCache>
                <c:formatCode>General</c:formatCode>
                <c:ptCount val="3"/>
                <c:pt idx="0">
                  <c:v>1.0576344117121603</c:v>
                </c:pt>
                <c:pt idx="1">
                  <c:v>1.3445015496195842</c:v>
                </c:pt>
                <c:pt idx="2">
                  <c:v>1.6292887037573034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BF-48B2-ADB7-035DC70D0223}"/>
            </c:ext>
          </c:extLst>
        </c:ser>
        <c:ser>
          <c:idx val="5"/>
          <c:order val="5"/>
          <c:tx>
            <c:strRef>
              <c:f>Charts!$R$57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Charts!$S$57:$U$57</c:f>
              <c:numCache>
                <c:formatCode>General</c:formatCode>
                <c:ptCount val="3"/>
                <c:pt idx="0">
                  <c:v>1.1638168670276625</c:v>
                </c:pt>
                <c:pt idx="1">
                  <c:v>1.6267485953783114</c:v>
                </c:pt>
                <c:pt idx="2">
                  <c:v>2.073809959505942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1BF-48B2-ADB7-035DC70D0223}"/>
            </c:ext>
          </c:extLst>
        </c:ser>
        <c:ser>
          <c:idx val="6"/>
          <c:order val="6"/>
          <c:tx>
            <c:strRef>
              <c:f>Charts!$R$58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Charts!$S$58:$U$58</c:f>
              <c:numCache>
                <c:formatCode>General</c:formatCode>
                <c:ptCount val="3"/>
                <c:pt idx="0">
                  <c:v>1.1411180658914357</c:v>
                </c:pt>
                <c:pt idx="1">
                  <c:v>1.5045309610170658</c:v>
                </c:pt>
                <c:pt idx="2">
                  <c:v>1.8774478083392481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1BF-48B2-ADB7-035DC70D0223}"/>
            </c:ext>
          </c:extLst>
        </c:ser>
        <c:ser>
          <c:idx val="7"/>
          <c:order val="7"/>
          <c:tx>
            <c:strRef>
              <c:f>Charts!$R$59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Charts!$S$59:$U$59</c:f>
              <c:numCache>
                <c:formatCode>General</c:formatCode>
                <c:ptCount val="3"/>
                <c:pt idx="0">
                  <c:v>1.16685084061419</c:v>
                </c:pt>
                <c:pt idx="1">
                  <c:v>1.5264135047455074</c:v>
                </c:pt>
                <c:pt idx="2">
                  <c:v>1.8335662748888293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1BF-48B2-ADB7-035DC70D02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Cybershake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75"/>
              <c:y val="0.848716537029449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2.9"/>
          <c:min val="0.70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Energy Cons.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3.637865260645584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Charts!$R$83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Charts!$S$83:$U$83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D1-49B3-8964-316378D22B14}"/>
            </c:ext>
          </c:extLst>
        </c:ser>
        <c:ser>
          <c:idx val="1"/>
          <c:order val="1"/>
          <c:tx>
            <c:strRef>
              <c:f>Charts!$R$84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Charts!$S$84:$U$84</c:f>
              <c:numCache>
                <c:formatCode>General</c:formatCode>
                <c:ptCount val="3"/>
                <c:pt idx="0">
                  <c:v>1.0013071116043992</c:v>
                </c:pt>
                <c:pt idx="1">
                  <c:v>0.98886861489378364</c:v>
                </c:pt>
                <c:pt idx="2">
                  <c:v>0.97817065205711162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D1-49B3-8964-316378D22B14}"/>
            </c:ext>
          </c:extLst>
        </c:ser>
        <c:ser>
          <c:idx val="2"/>
          <c:order val="2"/>
          <c:tx>
            <c:strRef>
              <c:f>Charts!$R$85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Charts!$S$85:$U$85</c:f>
              <c:numCache>
                <c:formatCode>General</c:formatCode>
                <c:ptCount val="3"/>
                <c:pt idx="0">
                  <c:v>1.001057155174786</c:v>
                </c:pt>
                <c:pt idx="1">
                  <c:v>1.1562568556407582</c:v>
                </c:pt>
                <c:pt idx="2">
                  <c:v>2.4169517029138663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D1-49B3-8964-316378D22B14}"/>
            </c:ext>
          </c:extLst>
        </c:ser>
        <c:ser>
          <c:idx val="3"/>
          <c:order val="3"/>
          <c:tx>
            <c:strRef>
              <c:f>Charts!$R$86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Charts!$S$86:$U$86</c:f>
              <c:numCache>
                <c:formatCode>General</c:formatCode>
                <c:ptCount val="3"/>
                <c:pt idx="0">
                  <c:v>1.1603401700620994</c:v>
                </c:pt>
                <c:pt idx="1">
                  <c:v>1.3705874863345182</c:v>
                </c:pt>
                <c:pt idx="2">
                  <c:v>1.9015649680864382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D1-49B3-8964-316378D22B14}"/>
            </c:ext>
          </c:extLst>
        </c:ser>
        <c:ser>
          <c:idx val="4"/>
          <c:order val="4"/>
          <c:tx>
            <c:strRef>
              <c:f>Charts!$R$87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Charts!$S$87:$U$87</c:f>
              <c:numCache>
                <c:formatCode>General</c:formatCode>
                <c:ptCount val="3"/>
                <c:pt idx="0">
                  <c:v>1.03972128711509</c:v>
                </c:pt>
                <c:pt idx="1">
                  <c:v>1.2219184939597081</c:v>
                </c:pt>
                <c:pt idx="2">
                  <c:v>1.4304310305126602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4D1-49B3-8964-316378D22B14}"/>
            </c:ext>
          </c:extLst>
        </c:ser>
        <c:ser>
          <c:idx val="5"/>
          <c:order val="5"/>
          <c:tx>
            <c:strRef>
              <c:f>Charts!$R$88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Charts!$S$88:$U$88</c:f>
              <c:numCache>
                <c:formatCode>General</c:formatCode>
                <c:ptCount val="3"/>
                <c:pt idx="0">
                  <c:v>1.1738928535392914</c:v>
                </c:pt>
                <c:pt idx="1">
                  <c:v>1.5037361095272053</c:v>
                </c:pt>
                <c:pt idx="2">
                  <c:v>1.8523319428238365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4D1-49B3-8964-316378D22B14}"/>
            </c:ext>
          </c:extLst>
        </c:ser>
        <c:ser>
          <c:idx val="6"/>
          <c:order val="6"/>
          <c:tx>
            <c:strRef>
              <c:f>Charts!$R$89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Charts!$S$89:$U$89</c:f>
              <c:numCache>
                <c:formatCode>General</c:formatCode>
                <c:ptCount val="3"/>
                <c:pt idx="0">
                  <c:v>1.1398609416707179</c:v>
                </c:pt>
                <c:pt idx="1">
                  <c:v>1.3793063728891497</c:v>
                </c:pt>
                <c:pt idx="2">
                  <c:v>1.6594916081203559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4D1-49B3-8964-316378D22B14}"/>
            </c:ext>
          </c:extLst>
        </c:ser>
        <c:ser>
          <c:idx val="7"/>
          <c:order val="7"/>
          <c:tx>
            <c:strRef>
              <c:f>Charts!$R$90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Charts!$S$90:$U$90</c:f>
              <c:numCache>
                <c:formatCode>General</c:formatCode>
                <c:ptCount val="3"/>
                <c:pt idx="0">
                  <c:v>1.1771365541786294</c:v>
                </c:pt>
                <c:pt idx="1">
                  <c:v>1.4031879330646724</c:v>
                </c:pt>
                <c:pt idx="2">
                  <c:v>1.626797674933496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4D1-49B3-8964-316378D22B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Cybershake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75"/>
              <c:y val="0.848716537029449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2.5"/>
          <c:min val="0.70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Makespan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8.099305332703110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0</xdr:row>
      <xdr:rowOff>174171</xdr:rowOff>
    </xdr:from>
    <xdr:to>
      <xdr:col>15</xdr:col>
      <xdr:colOff>11984</xdr:colOff>
      <xdr:row>31</xdr:row>
      <xdr:rowOff>130629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C1FC86-CC81-4160-9E3D-5EFB4915A5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326572</xdr:colOff>
      <xdr:row>32</xdr:row>
      <xdr:rowOff>43543</xdr:rowOff>
    </xdr:from>
    <xdr:to>
      <xdr:col>15</xdr:col>
      <xdr:colOff>33756</xdr:colOff>
      <xdr:row>63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F3BBAA-AFEC-4159-BC3A-2A56015475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359228</xdr:colOff>
      <xdr:row>63</xdr:row>
      <xdr:rowOff>97971</xdr:rowOff>
    </xdr:from>
    <xdr:to>
      <xdr:col>15</xdr:col>
      <xdr:colOff>66412</xdr:colOff>
      <xdr:row>94</xdr:row>
      <xdr:rowOff>54429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A17C996-FC60-47C2-B232-D980668A82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A4051-5E43-4FA1-B23F-C094047F36A2}">
  <dimension ref="R2:U90"/>
  <sheetViews>
    <sheetView tabSelected="1" topLeftCell="A23" zoomScale="55" zoomScaleNormal="55" workbookViewId="0">
      <selection activeCell="AA40" sqref="AA40"/>
    </sheetView>
  </sheetViews>
  <sheetFormatPr defaultRowHeight="15" x14ac:dyDescent="0.25"/>
  <cols>
    <col min="19" max="19" width="12.28515625" bestFit="1" customWidth="1"/>
  </cols>
  <sheetData>
    <row r="2" spans="18:21" x14ac:dyDescent="0.25">
      <c r="R2" t="s">
        <v>20</v>
      </c>
      <c r="S2">
        <v>30</v>
      </c>
      <c r="T2">
        <v>50</v>
      </c>
      <c r="U2">
        <v>100</v>
      </c>
    </row>
    <row r="3" spans="18:21" x14ac:dyDescent="0.25">
      <c r="R3" s="5" t="s">
        <v>6</v>
      </c>
      <c r="S3">
        <f>'Data Age'!B41</f>
        <v>8177.1807692307693</v>
      </c>
      <c r="T3">
        <f>'Data Age'!C41</f>
        <v>37974.784313725489</v>
      </c>
      <c r="U3">
        <f>'Data Age'!D41</f>
        <v>44631.980198019803</v>
      </c>
    </row>
    <row r="4" spans="18:21" x14ac:dyDescent="0.25">
      <c r="R4" s="5" t="s">
        <v>7</v>
      </c>
      <c r="S4">
        <f>'Data Age'!B42</f>
        <v>7604.4057692307688</v>
      </c>
      <c r="T4">
        <f>'Data Age'!C42</f>
        <v>27833.907843137251</v>
      </c>
      <c r="U4">
        <f>'Data Age'!D42</f>
        <v>33113.731188118807</v>
      </c>
    </row>
    <row r="5" spans="18:21" x14ac:dyDescent="0.25">
      <c r="R5" s="1" t="s">
        <v>8</v>
      </c>
      <c r="S5">
        <f>'Data Age'!B43</f>
        <v>7637.2692307692296</v>
      </c>
      <c r="T5">
        <f>'Data Age'!C43</f>
        <v>32378.73529411765</v>
      </c>
      <c r="U5">
        <f>'Data Age'!D43</f>
        <v>52573.641089108911</v>
      </c>
    </row>
    <row r="6" spans="18:21" x14ac:dyDescent="0.25">
      <c r="R6" s="5" t="s">
        <v>9</v>
      </c>
      <c r="S6">
        <f>'Data Age'!B44</f>
        <v>8355.4673076923082</v>
      </c>
      <c r="T6">
        <f>'Data Age'!C44</f>
        <v>36487.661764705881</v>
      </c>
      <c r="U6">
        <f>'Data Age'!D44</f>
        <v>50233.89504950495</v>
      </c>
    </row>
    <row r="7" spans="18:21" x14ac:dyDescent="0.25">
      <c r="R7" s="5" t="s">
        <v>10</v>
      </c>
      <c r="S7">
        <f>'Data Age'!B45</f>
        <v>7770.3653846153848</v>
      </c>
      <c r="T7">
        <f>'Data Age'!C45</f>
        <v>35858.720588235286</v>
      </c>
      <c r="U7">
        <f>'Data Age'!D45</f>
        <v>46646.304950495047</v>
      </c>
    </row>
    <row r="8" spans="18:21" x14ac:dyDescent="0.25">
      <c r="R8" s="5" t="s">
        <v>11</v>
      </c>
      <c r="S8">
        <f>'Data Age'!B46</f>
        <v>8403.5653846153855</v>
      </c>
      <c r="T8">
        <f>'Data Age'!C46</f>
        <v>41169.783333333333</v>
      </c>
      <c r="U8">
        <f>'Data Age'!D46</f>
        <v>49966.750990099012</v>
      </c>
    </row>
    <row r="9" spans="18:21" x14ac:dyDescent="0.25">
      <c r="R9" s="1" t="s">
        <v>12</v>
      </c>
      <c r="S9">
        <f>'Data Age'!B47</f>
        <v>8166.792307692308</v>
      </c>
      <c r="T9">
        <f>'Data Age'!C47</f>
        <v>37848.02843137255</v>
      </c>
      <c r="U9">
        <f>'Data Age'!D47</f>
        <v>51321.533168316833</v>
      </c>
    </row>
    <row r="10" spans="18:21" x14ac:dyDescent="0.25">
      <c r="R10" s="5" t="s">
        <v>13</v>
      </c>
      <c r="S10">
        <f>'Data Age'!B48</f>
        <v>8370.2173076923082</v>
      </c>
      <c r="T10">
        <f>'Data Age'!C48</f>
        <v>36612.232352941173</v>
      </c>
      <c r="U10">
        <f>'Data Age'!D48</f>
        <v>48467.928217821784</v>
      </c>
    </row>
    <row r="17" spans="18:21" x14ac:dyDescent="0.25">
      <c r="R17" t="s">
        <v>20</v>
      </c>
      <c r="S17">
        <v>30</v>
      </c>
      <c r="T17">
        <v>50</v>
      </c>
      <c r="U17">
        <v>100</v>
      </c>
    </row>
    <row r="18" spans="18:21" x14ac:dyDescent="0.25">
      <c r="R18" s="5" t="s">
        <v>6</v>
      </c>
      <c r="S18">
        <f>S3/S3</f>
        <v>1</v>
      </c>
      <c r="T18">
        <f>T3/T3</f>
        <v>1</v>
      </c>
      <c r="U18">
        <f>U3/U3</f>
        <v>1</v>
      </c>
    </row>
    <row r="19" spans="18:21" x14ac:dyDescent="0.25">
      <c r="R19" s="5" t="s">
        <v>7</v>
      </c>
      <c r="S19">
        <f>S4/S3</f>
        <v>0.92995446521675929</v>
      </c>
      <c r="T19">
        <f t="shared" ref="T19:U19" si="0">T4/T3</f>
        <v>0.73295762823008448</v>
      </c>
      <c r="U19">
        <f t="shared" si="0"/>
        <v>0.74192834468025626</v>
      </c>
    </row>
    <row r="20" spans="18:21" x14ac:dyDescent="0.25">
      <c r="R20" s="1" t="s">
        <v>8</v>
      </c>
      <c r="S20">
        <f>S5/S3</f>
        <v>0.93397338842096678</v>
      </c>
      <c r="T20">
        <f t="shared" ref="T20:U20" si="1">T5/T3</f>
        <v>0.85263776685664494</v>
      </c>
      <c r="U20">
        <f t="shared" si="1"/>
        <v>1.1779365570573868</v>
      </c>
    </row>
    <row r="21" spans="18:21" x14ac:dyDescent="0.25">
      <c r="R21" s="5" t="s">
        <v>9</v>
      </c>
      <c r="S21">
        <f>S6/S3</f>
        <v>1.0218029347146633</v>
      </c>
      <c r="T21">
        <f t="shared" ref="T21:U21" si="2">T6/T3</f>
        <v>0.96083921012601758</v>
      </c>
      <c r="U21">
        <f t="shared" si="2"/>
        <v>1.1255134732232581</v>
      </c>
    </row>
    <row r="22" spans="18:21" x14ac:dyDescent="0.25">
      <c r="R22" s="5" t="s">
        <v>10</v>
      </c>
      <c r="S22">
        <f>S7/S3</f>
        <v>0.95024992156879351</v>
      </c>
      <c r="T22">
        <f t="shared" ref="T22:U22" si="3">T7/T3</f>
        <v>0.94427713642799072</v>
      </c>
      <c r="U22">
        <f t="shared" si="3"/>
        <v>1.0451318705452513</v>
      </c>
    </row>
    <row r="23" spans="18:21" x14ac:dyDescent="0.25">
      <c r="R23" s="5" t="s">
        <v>11</v>
      </c>
      <c r="S23">
        <f>S8/S3</f>
        <v>1.0276849224412967</v>
      </c>
      <c r="T23">
        <f t="shared" ref="T23:U23" si="4">T8/T3</f>
        <v>1.0841347509234713</v>
      </c>
      <c r="U23">
        <f t="shared" si="4"/>
        <v>1.119527987967603</v>
      </c>
    </row>
    <row r="24" spans="18:21" x14ac:dyDescent="0.25">
      <c r="R24" s="1" t="s">
        <v>12</v>
      </c>
      <c r="S24">
        <f>S9/S3</f>
        <v>0.99872957907723514</v>
      </c>
      <c r="T24">
        <f t="shared" ref="T24:U24" si="5">T9/T3</f>
        <v>0.99666210395546273</v>
      </c>
      <c r="U24">
        <f t="shared" si="5"/>
        <v>1.1498825044422705</v>
      </c>
    </row>
    <row r="25" spans="18:21" x14ac:dyDescent="0.25">
      <c r="R25" s="5" t="s">
        <v>13</v>
      </c>
      <c r="S25">
        <f>S10/S3</f>
        <v>1.0236067348771229</v>
      </c>
      <c r="T25">
        <f t="shared" ref="T25:U25" si="6">T10/T3</f>
        <v>0.96411956024482703</v>
      </c>
      <c r="U25">
        <f t="shared" si="6"/>
        <v>1.0859461758761977</v>
      </c>
    </row>
    <row r="36" spans="18:21" x14ac:dyDescent="0.25">
      <c r="R36" t="s">
        <v>21</v>
      </c>
      <c r="S36">
        <v>30</v>
      </c>
      <c r="T36">
        <v>50</v>
      </c>
      <c r="U36">
        <v>100</v>
      </c>
    </row>
    <row r="37" spans="18:21" x14ac:dyDescent="0.25">
      <c r="R37" s="5" t="s">
        <v>6</v>
      </c>
      <c r="S37">
        <f>Energy!B41</f>
        <v>30053162.099000581</v>
      </c>
      <c r="T37">
        <f>Energy!C41</f>
        <v>137794210.3419311</v>
      </c>
      <c r="U37">
        <f>Energy!D41</f>
        <v>195766802.67352951</v>
      </c>
    </row>
    <row r="38" spans="18:21" x14ac:dyDescent="0.25">
      <c r="R38" s="5" t="s">
        <v>7</v>
      </c>
      <c r="S38">
        <f>Energy!B42</f>
        <v>30830231.291666672</v>
      </c>
      <c r="T38">
        <f>Energy!C42</f>
        <v>152715257.75</v>
      </c>
      <c r="U38">
        <f>Energy!D42</f>
        <v>223791749.375</v>
      </c>
    </row>
    <row r="39" spans="18:21" x14ac:dyDescent="0.25">
      <c r="R39" s="1" t="s">
        <v>8</v>
      </c>
      <c r="S39">
        <f>Energy!B43</f>
        <v>31032581.333333328</v>
      </c>
      <c r="T39">
        <f>Energy!C43</f>
        <v>181313482.83333331</v>
      </c>
      <c r="U39">
        <f>Energy!D43</f>
        <v>528891146.83333337</v>
      </c>
    </row>
    <row r="40" spans="18:21" x14ac:dyDescent="0.25">
      <c r="R40" s="5" t="s">
        <v>9</v>
      </c>
      <c r="S40">
        <f>Energy!B44</f>
        <v>34610874.125</v>
      </c>
      <c r="T40">
        <f>Energy!C44</f>
        <v>205520126.33333331</v>
      </c>
      <c r="U40">
        <f>Energy!D44</f>
        <v>416136466.16666669</v>
      </c>
    </row>
    <row r="41" spans="18:21" x14ac:dyDescent="0.25">
      <c r="R41" s="5" t="s">
        <v>10</v>
      </c>
      <c r="S41">
        <f>Energy!B45</f>
        <v>31785258.416666672</v>
      </c>
      <c r="T41">
        <f>Energy!C45</f>
        <v>185264529.33333331</v>
      </c>
      <c r="U41">
        <f>Energy!D45</f>
        <v>318960640.16666669</v>
      </c>
    </row>
    <row r="42" spans="18:21" x14ac:dyDescent="0.25">
      <c r="R42" s="5" t="s">
        <v>11</v>
      </c>
      <c r="S42">
        <f>Energy!B46</f>
        <v>34976376.958333343</v>
      </c>
      <c r="T42">
        <f>Energy!C46</f>
        <v>224156538.125</v>
      </c>
      <c r="U42">
        <f>Energy!D46</f>
        <v>405983145.125</v>
      </c>
    </row>
    <row r="43" spans="18:21" x14ac:dyDescent="0.25">
      <c r="R43" s="1" t="s">
        <v>12</v>
      </c>
      <c r="S43">
        <f>Energy!B47</f>
        <v>34294206.208333343</v>
      </c>
      <c r="T43">
        <f>Energy!C47</f>
        <v>207315655.70833331</v>
      </c>
      <c r="U43">
        <f>Energy!D47</f>
        <v>367541954.625</v>
      </c>
    </row>
    <row r="44" spans="18:21" x14ac:dyDescent="0.25">
      <c r="R44" s="5" t="s">
        <v>13</v>
      </c>
      <c r="S44">
        <f>Energy!B48</f>
        <v>35067557.458333343</v>
      </c>
      <c r="T44">
        <f>Energy!C48</f>
        <v>210330943.54166669</v>
      </c>
      <c r="U44">
        <f>Energy!D48</f>
        <v>358951407.125</v>
      </c>
    </row>
    <row r="51" spans="18:21" x14ac:dyDescent="0.25">
      <c r="R51" t="s">
        <v>21</v>
      </c>
      <c r="S51">
        <v>30</v>
      </c>
      <c r="T51">
        <v>50</v>
      </c>
      <c r="U51">
        <v>100</v>
      </c>
    </row>
    <row r="52" spans="18:21" x14ac:dyDescent="0.25">
      <c r="R52" s="5" t="s">
        <v>6</v>
      </c>
      <c r="S52">
        <f>S37/S37</f>
        <v>1</v>
      </c>
      <c r="T52">
        <f>T37/T37</f>
        <v>1</v>
      </c>
      <c r="U52">
        <f>U37/U37</f>
        <v>1</v>
      </c>
    </row>
    <row r="53" spans="18:21" x14ac:dyDescent="0.25">
      <c r="R53" s="5" t="s">
        <v>7</v>
      </c>
      <c r="S53">
        <f>S38/S37</f>
        <v>1.0258564869182911</v>
      </c>
      <c r="T53">
        <f t="shared" ref="T53:U53" si="7">T38/T37</f>
        <v>1.1082850097333037</v>
      </c>
      <c r="U53">
        <f t="shared" si="7"/>
        <v>1.1431547449247883</v>
      </c>
    </row>
    <row r="54" spans="18:21" x14ac:dyDescent="0.25">
      <c r="R54" s="1" t="s">
        <v>8</v>
      </c>
      <c r="S54">
        <f>S39/S37</f>
        <v>1.0325895568361945</v>
      </c>
      <c r="T54">
        <f t="shared" ref="T54:U54" si="8">T39/T37</f>
        <v>1.3158280190685137</v>
      </c>
      <c r="U54">
        <f t="shared" si="8"/>
        <v>2.7016385802415064</v>
      </c>
    </row>
    <row r="55" spans="18:21" x14ac:dyDescent="0.25">
      <c r="R55" s="5" t="s">
        <v>9</v>
      </c>
      <c r="S55">
        <f>S40/S37</f>
        <v>1.1516549909452285</v>
      </c>
      <c r="T55">
        <f t="shared" ref="T55:U55" si="9">T40/T37</f>
        <v>1.4915004471040032</v>
      </c>
      <c r="U55">
        <f t="shared" si="9"/>
        <v>2.1256743251849324</v>
      </c>
    </row>
    <row r="56" spans="18:21" x14ac:dyDescent="0.25">
      <c r="R56" s="5" t="s">
        <v>10</v>
      </c>
      <c r="S56">
        <f>S41/S37</f>
        <v>1.0576344117121603</v>
      </c>
      <c r="T56">
        <f t="shared" ref="T56:U56" si="10">T41/T37</f>
        <v>1.3445015496195842</v>
      </c>
      <c r="U56">
        <f t="shared" si="10"/>
        <v>1.6292887037573034</v>
      </c>
    </row>
    <row r="57" spans="18:21" x14ac:dyDescent="0.25">
      <c r="R57" s="5" t="s">
        <v>11</v>
      </c>
      <c r="S57">
        <f>S42/S37</f>
        <v>1.1638168670276625</v>
      </c>
      <c r="T57">
        <f t="shared" ref="T57:U57" si="11">T42/T37</f>
        <v>1.6267485953783114</v>
      </c>
      <c r="U57">
        <f t="shared" si="11"/>
        <v>2.073809959505942</v>
      </c>
    </row>
    <row r="58" spans="18:21" x14ac:dyDescent="0.25">
      <c r="R58" s="1" t="s">
        <v>12</v>
      </c>
      <c r="S58">
        <f>S43/S37</f>
        <v>1.1411180658914357</v>
      </c>
      <c r="T58">
        <f t="shared" ref="T58:U58" si="12">T43/T37</f>
        <v>1.5045309610170658</v>
      </c>
      <c r="U58">
        <f t="shared" si="12"/>
        <v>1.8774478083392481</v>
      </c>
    </row>
    <row r="59" spans="18:21" x14ac:dyDescent="0.25">
      <c r="R59" s="5" t="s">
        <v>13</v>
      </c>
      <c r="S59">
        <f>S44/S37</f>
        <v>1.16685084061419</v>
      </c>
      <c r="T59">
        <f t="shared" ref="T59:U59" si="13">T44/T37</f>
        <v>1.5264135047455074</v>
      </c>
      <c r="U59">
        <f t="shared" si="13"/>
        <v>1.8335662748888293</v>
      </c>
    </row>
    <row r="67" spans="18:21" x14ac:dyDescent="0.25">
      <c r="R67" t="s">
        <v>22</v>
      </c>
      <c r="S67">
        <v>30</v>
      </c>
      <c r="T67">
        <v>50</v>
      </c>
      <c r="U67">
        <v>100</v>
      </c>
    </row>
    <row r="68" spans="18:21" x14ac:dyDescent="0.25">
      <c r="R68" s="5" t="s">
        <v>6</v>
      </c>
      <c r="S68">
        <f>Makespan!B41</f>
        <v>43607.6</v>
      </c>
      <c r="T68">
        <f>Makespan!C41</f>
        <v>218342.1</v>
      </c>
      <c r="U68">
        <f>Makespan!D41</f>
        <v>315939.34999999998</v>
      </c>
    </row>
    <row r="69" spans="18:21" x14ac:dyDescent="0.25">
      <c r="R69" s="5" t="s">
        <v>7</v>
      </c>
      <c r="S69">
        <f>Makespan!B42</f>
        <v>43664.6</v>
      </c>
      <c r="T69">
        <f>Makespan!C42</f>
        <v>215911.65</v>
      </c>
      <c r="U69">
        <f>Makespan!D42</f>
        <v>309042.59999999998</v>
      </c>
    </row>
    <row r="70" spans="18:21" x14ac:dyDescent="0.25">
      <c r="R70" s="1" t="s">
        <v>8</v>
      </c>
      <c r="S70">
        <f>Makespan!B43</f>
        <v>43653.7</v>
      </c>
      <c r="T70">
        <f>Makespan!C43</f>
        <v>252459.55</v>
      </c>
      <c r="U70">
        <f>Makespan!D43</f>
        <v>763610.15</v>
      </c>
    </row>
    <row r="71" spans="18:21" x14ac:dyDescent="0.25">
      <c r="R71" s="5" t="s">
        <v>9</v>
      </c>
      <c r="S71">
        <f>Makespan!B44</f>
        <v>50599.65</v>
      </c>
      <c r="T71">
        <f>Makespan!C44</f>
        <v>299256.95</v>
      </c>
      <c r="U71">
        <f>Makespan!D44</f>
        <v>600779.19999999995</v>
      </c>
    </row>
    <row r="72" spans="18:21" x14ac:dyDescent="0.25">
      <c r="R72" s="5" t="s">
        <v>10</v>
      </c>
      <c r="S72">
        <f>Makespan!B45</f>
        <v>45339.75</v>
      </c>
      <c r="T72">
        <f>Makespan!C45</f>
        <v>266796.25</v>
      </c>
      <c r="U72">
        <f>Makespan!D45</f>
        <v>451929.45</v>
      </c>
    </row>
    <row r="73" spans="18:21" x14ac:dyDescent="0.25">
      <c r="R73" s="5" t="s">
        <v>11</v>
      </c>
      <c r="S73">
        <f>Makespan!B46</f>
        <v>51190.65</v>
      </c>
      <c r="T73">
        <f>Makespan!C46</f>
        <v>328328.90000000002</v>
      </c>
      <c r="U73">
        <f>Makespan!D46</f>
        <v>585224.55000000005</v>
      </c>
    </row>
    <row r="74" spans="18:21" x14ac:dyDescent="0.25">
      <c r="R74" s="1" t="s">
        <v>12</v>
      </c>
      <c r="S74">
        <f>Makespan!B47</f>
        <v>49706.6</v>
      </c>
      <c r="T74">
        <f>Makespan!C47</f>
        <v>301160.65000000002</v>
      </c>
      <c r="U74">
        <f>Makespan!D47</f>
        <v>524298.69999999995</v>
      </c>
    </row>
    <row r="75" spans="18:21" x14ac:dyDescent="0.25">
      <c r="R75" s="5" t="s">
        <v>13</v>
      </c>
      <c r="S75">
        <f>Makespan!B48</f>
        <v>51332.1</v>
      </c>
      <c r="T75">
        <f>Makespan!C48</f>
        <v>306375</v>
      </c>
      <c r="U75">
        <f>Makespan!D48</f>
        <v>513969.4</v>
      </c>
    </row>
    <row r="82" spans="18:21" x14ac:dyDescent="0.25">
      <c r="R82" t="s">
        <v>22</v>
      </c>
      <c r="S82">
        <v>30</v>
      </c>
      <c r="T82">
        <v>50</v>
      </c>
      <c r="U82">
        <v>100</v>
      </c>
    </row>
    <row r="83" spans="18:21" x14ac:dyDescent="0.25">
      <c r="R83" s="5" t="s">
        <v>6</v>
      </c>
      <c r="S83">
        <f>S68/S68</f>
        <v>1</v>
      </c>
      <c r="T83">
        <f>T68/T68</f>
        <v>1</v>
      </c>
      <c r="U83">
        <f>U68/U68</f>
        <v>1</v>
      </c>
    </row>
    <row r="84" spans="18:21" x14ac:dyDescent="0.25">
      <c r="R84" s="5" t="s">
        <v>7</v>
      </c>
      <c r="S84">
        <f>S69/S68</f>
        <v>1.0013071116043992</v>
      </c>
      <c r="T84">
        <f t="shared" ref="T84:U84" si="14">T69/T68</f>
        <v>0.98886861489378364</v>
      </c>
      <c r="U84">
        <f t="shared" si="14"/>
        <v>0.97817065205711162</v>
      </c>
    </row>
    <row r="85" spans="18:21" x14ac:dyDescent="0.25">
      <c r="R85" s="1" t="s">
        <v>8</v>
      </c>
      <c r="S85">
        <f>S70/S68</f>
        <v>1.001057155174786</v>
      </c>
      <c r="T85">
        <f t="shared" ref="T85:U85" si="15">T70/T68</f>
        <v>1.1562568556407582</v>
      </c>
      <c r="U85">
        <f t="shared" si="15"/>
        <v>2.4169517029138663</v>
      </c>
    </row>
    <row r="86" spans="18:21" x14ac:dyDescent="0.25">
      <c r="R86" s="5" t="s">
        <v>9</v>
      </c>
      <c r="S86">
        <f>S71/S68</f>
        <v>1.1603401700620994</v>
      </c>
      <c r="T86">
        <f t="shared" ref="T86:U86" si="16">T71/T68</f>
        <v>1.3705874863345182</v>
      </c>
      <c r="U86">
        <f t="shared" si="16"/>
        <v>1.9015649680864382</v>
      </c>
    </row>
    <row r="87" spans="18:21" x14ac:dyDescent="0.25">
      <c r="R87" s="5" t="s">
        <v>10</v>
      </c>
      <c r="S87">
        <f>S72/S68</f>
        <v>1.03972128711509</v>
      </c>
      <c r="T87">
        <f t="shared" ref="T87:U87" si="17">T72/T68</f>
        <v>1.2219184939597081</v>
      </c>
      <c r="U87">
        <f t="shared" si="17"/>
        <v>1.4304310305126602</v>
      </c>
    </row>
    <row r="88" spans="18:21" x14ac:dyDescent="0.25">
      <c r="R88" s="5" t="s">
        <v>11</v>
      </c>
      <c r="S88">
        <f>S73/S68</f>
        <v>1.1738928535392914</v>
      </c>
      <c r="T88">
        <f t="shared" ref="T88:U88" si="18">T73/T68</f>
        <v>1.5037361095272053</v>
      </c>
      <c r="U88">
        <f t="shared" si="18"/>
        <v>1.8523319428238365</v>
      </c>
    </row>
    <row r="89" spans="18:21" x14ac:dyDescent="0.25">
      <c r="R89" s="1" t="s">
        <v>12</v>
      </c>
      <c r="S89">
        <f>S74/S68</f>
        <v>1.1398609416707179</v>
      </c>
      <c r="T89">
        <f t="shared" ref="T89:U89" si="19">T74/T68</f>
        <v>1.3793063728891497</v>
      </c>
      <c r="U89">
        <f t="shared" si="19"/>
        <v>1.6594916081203559</v>
      </c>
    </row>
    <row r="90" spans="18:21" x14ac:dyDescent="0.25">
      <c r="R90" s="5" t="s">
        <v>13</v>
      </c>
      <c r="S90">
        <f>S75/S68</f>
        <v>1.1771365541786294</v>
      </c>
      <c r="T90">
        <f t="shared" ref="T90:U90" si="20">T75/T68</f>
        <v>1.4031879330646724</v>
      </c>
      <c r="U90">
        <f t="shared" si="20"/>
        <v>1.626797674933496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60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37" width="20" customWidth="1"/>
    <col min="38" max="39" width="19" customWidth="1"/>
    <col min="40" max="45" width="20" customWidth="1"/>
    <col min="46" max="46" width="19" customWidth="1"/>
    <col min="47" max="47" width="20" customWidth="1"/>
    <col min="48" max="48" width="19" customWidth="1"/>
    <col min="49" max="54" width="20" customWidth="1"/>
    <col min="55" max="55" width="19" customWidth="1"/>
    <col min="56" max="60" width="20" customWidth="1"/>
    <col min="61" max="61" width="19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8177.1807692307693</v>
      </c>
      <c r="D2">
        <v>7795.9615384615381</v>
      </c>
      <c r="E2">
        <v>8590.3846153846152</v>
      </c>
      <c r="F2">
        <v>254.48898620104009</v>
      </c>
    </row>
    <row r="3" spans="1:6" x14ac:dyDescent="0.25">
      <c r="A3" t="s">
        <v>6</v>
      </c>
      <c r="B3">
        <v>2</v>
      </c>
      <c r="C3">
        <v>37974.784313725489</v>
      </c>
      <c r="D3">
        <v>35684.784313725489</v>
      </c>
      <c r="E3">
        <v>40489.960784313727</v>
      </c>
      <c r="F3">
        <v>1584.8049721920549</v>
      </c>
    </row>
    <row r="4" spans="1:6" x14ac:dyDescent="0.25">
      <c r="A4" t="s">
        <v>6</v>
      </c>
      <c r="B4">
        <v>3</v>
      </c>
      <c r="C4">
        <v>44631.980198019803</v>
      </c>
      <c r="D4">
        <v>41249.257425742573</v>
      </c>
      <c r="E4">
        <v>50597.019801980197</v>
      </c>
      <c r="F4">
        <v>2467.2267822416111</v>
      </c>
    </row>
    <row r="5" spans="1:6" x14ac:dyDescent="0.25">
      <c r="A5" t="s">
        <v>7</v>
      </c>
      <c r="B5">
        <v>1</v>
      </c>
      <c r="C5">
        <v>7604.4057692307688</v>
      </c>
      <c r="D5">
        <v>7464.6538461538457</v>
      </c>
      <c r="E5">
        <v>7697.1153846153848</v>
      </c>
      <c r="F5">
        <v>62.328018378575102</v>
      </c>
    </row>
    <row r="6" spans="1:6" x14ac:dyDescent="0.25">
      <c r="A6" t="s">
        <v>7</v>
      </c>
      <c r="B6">
        <v>2</v>
      </c>
      <c r="C6">
        <v>27833.907843137251</v>
      </c>
      <c r="D6">
        <v>27342.078431372549</v>
      </c>
      <c r="E6">
        <v>28784.176470588231</v>
      </c>
      <c r="F6">
        <v>416.76706901512222</v>
      </c>
    </row>
    <row r="7" spans="1:6" x14ac:dyDescent="0.25">
      <c r="A7" t="s">
        <v>7</v>
      </c>
      <c r="B7">
        <v>3</v>
      </c>
      <c r="C7">
        <v>33113.731188118807</v>
      </c>
      <c r="D7">
        <v>32156.9702970297</v>
      </c>
      <c r="E7">
        <v>34536.069306930687</v>
      </c>
      <c r="F7">
        <v>683.83719196884988</v>
      </c>
    </row>
    <row r="8" spans="1:6" x14ac:dyDescent="0.25">
      <c r="A8" t="s">
        <v>8</v>
      </c>
      <c r="B8">
        <v>1</v>
      </c>
      <c r="C8">
        <v>7637.2692307692296</v>
      </c>
      <c r="D8">
        <v>7637.2692307692296</v>
      </c>
      <c r="E8">
        <v>7637.2692307692296</v>
      </c>
      <c r="F8">
        <v>0</v>
      </c>
    </row>
    <row r="9" spans="1:6" x14ac:dyDescent="0.25">
      <c r="A9" t="s">
        <v>8</v>
      </c>
      <c r="B9">
        <v>2</v>
      </c>
      <c r="C9">
        <v>32378.73529411765</v>
      </c>
      <c r="D9">
        <v>32376.862745098038</v>
      </c>
      <c r="E9">
        <v>32381.137254901962</v>
      </c>
      <c r="F9">
        <v>1.013717904928563</v>
      </c>
    </row>
    <row r="10" spans="1:6" x14ac:dyDescent="0.25">
      <c r="A10" t="s">
        <v>8</v>
      </c>
      <c r="B10">
        <v>3</v>
      </c>
      <c r="C10">
        <v>52573.641089108911</v>
      </c>
      <c r="D10">
        <v>52571.425742574247</v>
      </c>
      <c r="E10">
        <v>52575.574257425753</v>
      </c>
      <c r="F10">
        <v>1.140686340292671</v>
      </c>
    </row>
    <row r="11" spans="1:6" x14ac:dyDescent="0.25">
      <c r="A11" t="s">
        <v>9</v>
      </c>
      <c r="B11">
        <v>1</v>
      </c>
      <c r="C11">
        <v>8355.4673076923082</v>
      </c>
      <c r="D11">
        <v>7729.0384615384619</v>
      </c>
      <c r="E11">
        <v>9132.1153846153848</v>
      </c>
      <c r="F11">
        <v>400.19783703624762</v>
      </c>
    </row>
    <row r="12" spans="1:6" ht="15" customHeight="1" x14ac:dyDescent="0.25">
      <c r="A12" s="1" t="s">
        <v>9</v>
      </c>
      <c r="B12">
        <v>2</v>
      </c>
      <c r="C12">
        <v>36487.661764705881</v>
      </c>
      <c r="D12">
        <v>32081.823529411769</v>
      </c>
      <c r="E12">
        <v>42739.01960784314</v>
      </c>
      <c r="F12">
        <v>3147.85616535895</v>
      </c>
    </row>
    <row r="13" spans="1:6" x14ac:dyDescent="0.25">
      <c r="A13" t="s">
        <v>9</v>
      </c>
      <c r="B13">
        <v>3</v>
      </c>
      <c r="C13">
        <v>50233.89504950495</v>
      </c>
      <c r="D13">
        <v>33835.811881188121</v>
      </c>
      <c r="E13">
        <v>71141.643564356433</v>
      </c>
      <c r="F13">
        <v>10381.321310044879</v>
      </c>
    </row>
    <row r="14" spans="1:6" x14ac:dyDescent="0.25">
      <c r="A14" t="s">
        <v>10</v>
      </c>
      <c r="B14">
        <v>1</v>
      </c>
      <c r="C14">
        <v>7770.3653846153848</v>
      </c>
      <c r="D14">
        <v>7600.6538461538457</v>
      </c>
      <c r="E14">
        <v>7929.3076923076924</v>
      </c>
      <c r="F14">
        <v>90.537464457616665</v>
      </c>
    </row>
    <row r="15" spans="1:6" x14ac:dyDescent="0.25">
      <c r="A15" t="s">
        <v>10</v>
      </c>
      <c r="B15">
        <v>2</v>
      </c>
      <c r="C15">
        <v>35858.720588235286</v>
      </c>
      <c r="D15">
        <v>30766.843137254898</v>
      </c>
      <c r="E15">
        <v>45626.23529411765</v>
      </c>
      <c r="F15">
        <v>3069.9945807432582</v>
      </c>
    </row>
    <row r="16" spans="1:6" x14ac:dyDescent="0.25">
      <c r="A16" t="s">
        <v>10</v>
      </c>
      <c r="B16">
        <v>3</v>
      </c>
      <c r="C16">
        <v>46646.304950495047</v>
      </c>
      <c r="D16">
        <v>35395.009900990102</v>
      </c>
      <c r="E16">
        <v>61855.712871287127</v>
      </c>
      <c r="F16">
        <v>6043.5382201809853</v>
      </c>
    </row>
    <row r="17" spans="1:6" x14ac:dyDescent="0.25">
      <c r="A17" t="s">
        <v>11</v>
      </c>
      <c r="B17">
        <v>1</v>
      </c>
      <c r="C17">
        <v>8403.5653846153855</v>
      </c>
      <c r="D17">
        <v>7910.5769230769229</v>
      </c>
      <c r="E17">
        <v>9848.7307692307695</v>
      </c>
      <c r="F17">
        <v>418.34175800902659</v>
      </c>
    </row>
    <row r="18" spans="1:6" x14ac:dyDescent="0.25">
      <c r="A18" t="s">
        <v>11</v>
      </c>
      <c r="B18">
        <v>2</v>
      </c>
      <c r="C18">
        <v>41169.783333333333</v>
      </c>
      <c r="D18">
        <v>31568.058823529409</v>
      </c>
      <c r="E18">
        <v>62987.490196078426</v>
      </c>
      <c r="F18">
        <v>8131.839193259525</v>
      </c>
    </row>
    <row r="19" spans="1:6" x14ac:dyDescent="0.25">
      <c r="A19" t="s">
        <v>11</v>
      </c>
      <c r="B19">
        <v>3</v>
      </c>
      <c r="C19">
        <v>49966.750990099012</v>
      </c>
      <c r="D19">
        <v>40128.564356435643</v>
      </c>
      <c r="E19">
        <v>75316.643564356433</v>
      </c>
      <c r="F19">
        <v>10161.50387323263</v>
      </c>
    </row>
    <row r="20" spans="1:6" ht="15" customHeight="1" x14ac:dyDescent="0.25">
      <c r="A20" s="1" t="s">
        <v>12</v>
      </c>
      <c r="B20">
        <v>1</v>
      </c>
      <c r="C20">
        <v>8166.792307692308</v>
      </c>
      <c r="D20">
        <v>7792.4230769230771</v>
      </c>
      <c r="E20">
        <v>8388.4230769230762</v>
      </c>
      <c r="F20">
        <v>164.29380541286829</v>
      </c>
    </row>
    <row r="21" spans="1:6" x14ac:dyDescent="0.25">
      <c r="A21" t="s">
        <v>12</v>
      </c>
      <c r="B21">
        <v>2</v>
      </c>
      <c r="C21">
        <v>37848.02843137255</v>
      </c>
      <c r="D21">
        <v>31426.058823529409</v>
      </c>
      <c r="E21">
        <v>48957.23529411765</v>
      </c>
      <c r="F21">
        <v>4350.2242681076305</v>
      </c>
    </row>
    <row r="22" spans="1:6" x14ac:dyDescent="0.25">
      <c r="A22" t="s">
        <v>12</v>
      </c>
      <c r="B22">
        <v>3</v>
      </c>
      <c r="C22">
        <v>51321.533168316833</v>
      </c>
      <c r="D22">
        <v>38429.326732673268</v>
      </c>
      <c r="E22">
        <v>72616.574257425746</v>
      </c>
      <c r="F22">
        <v>8197.6802365996136</v>
      </c>
    </row>
    <row r="23" spans="1:6" ht="15" customHeight="1" x14ac:dyDescent="0.25">
      <c r="A23" s="1" t="s">
        <v>13</v>
      </c>
      <c r="B23">
        <v>1</v>
      </c>
      <c r="C23">
        <v>8370.2173076923082</v>
      </c>
      <c r="D23">
        <v>7924</v>
      </c>
      <c r="E23">
        <v>8992.8076923076915</v>
      </c>
      <c r="F23">
        <v>303.18049632898538</v>
      </c>
    </row>
    <row r="24" spans="1:6" x14ac:dyDescent="0.25">
      <c r="A24" t="s">
        <v>13</v>
      </c>
      <c r="B24">
        <v>2</v>
      </c>
      <c r="C24">
        <v>36612.232352941173</v>
      </c>
      <c r="D24">
        <v>28034.411764705881</v>
      </c>
      <c r="E24">
        <v>52426.705882352937</v>
      </c>
      <c r="F24">
        <v>6428.9965654593416</v>
      </c>
    </row>
    <row r="25" spans="1:6" x14ac:dyDescent="0.25">
      <c r="A25" t="s">
        <v>13</v>
      </c>
      <c r="B25">
        <v>3</v>
      </c>
      <c r="C25">
        <v>48467.928217821784</v>
      </c>
      <c r="D25">
        <v>36666.841584158406</v>
      </c>
      <c r="E25">
        <v>64888.633663366338</v>
      </c>
      <c r="F25">
        <v>8005.4592243208799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30261.31509365869</v>
      </c>
      <c r="D29">
        <v>7795.9615384615381</v>
      </c>
      <c r="E29">
        <v>50597.019801980197</v>
      </c>
      <c r="F29">
        <v>15941.41557128254</v>
      </c>
    </row>
    <row r="30" spans="1:6" x14ac:dyDescent="0.25">
      <c r="A30" t="s">
        <v>7</v>
      </c>
      <c r="C30">
        <v>22850.681600162279</v>
      </c>
      <c r="D30">
        <v>7464.6538461538457</v>
      </c>
      <c r="E30">
        <v>34536.069306930687</v>
      </c>
      <c r="F30">
        <v>11003.891284801421</v>
      </c>
    </row>
    <row r="31" spans="1:6" ht="15" customHeight="1" x14ac:dyDescent="0.25">
      <c r="A31" s="1" t="s">
        <v>8</v>
      </c>
      <c r="C31">
        <v>30863.215204665259</v>
      </c>
      <c r="D31">
        <v>7637.2692307692296</v>
      </c>
      <c r="E31">
        <v>52575.574257425753</v>
      </c>
      <c r="F31">
        <v>18376.470117486118</v>
      </c>
    </row>
    <row r="32" spans="1:6" x14ac:dyDescent="0.25">
      <c r="A32" t="s">
        <v>9</v>
      </c>
      <c r="C32">
        <v>31692.341373967709</v>
      </c>
      <c r="D32">
        <v>7729.0384615384619</v>
      </c>
      <c r="E32">
        <v>71141.643564356433</v>
      </c>
      <c r="F32">
        <v>18522.373771800099</v>
      </c>
    </row>
    <row r="33" spans="1:6" x14ac:dyDescent="0.25">
      <c r="A33" t="s">
        <v>10</v>
      </c>
      <c r="C33">
        <v>30091.796974448571</v>
      </c>
      <c r="D33">
        <v>7600.6538461538457</v>
      </c>
      <c r="E33">
        <v>61855.712871287127</v>
      </c>
      <c r="F33">
        <v>16847.481201383311</v>
      </c>
    </row>
    <row r="34" spans="1:6" x14ac:dyDescent="0.25">
      <c r="A34" t="s">
        <v>11</v>
      </c>
      <c r="C34">
        <v>33180.033236015908</v>
      </c>
      <c r="D34">
        <v>7910.5769230769229</v>
      </c>
      <c r="E34">
        <v>75316.643564356433</v>
      </c>
      <c r="F34">
        <v>19399.839674780509</v>
      </c>
    </row>
    <row r="35" spans="1:6" ht="15" customHeight="1" x14ac:dyDescent="0.25">
      <c r="A35" s="1" t="s">
        <v>12</v>
      </c>
      <c r="C35">
        <v>32445.451302460559</v>
      </c>
      <c r="D35">
        <v>7792.4230769230771</v>
      </c>
      <c r="E35">
        <v>72616.574257425746</v>
      </c>
      <c r="F35">
        <v>18806.922428753529</v>
      </c>
    </row>
    <row r="36" spans="1:6" ht="15" customHeight="1" x14ac:dyDescent="0.25">
      <c r="A36" s="1" t="s">
        <v>13</v>
      </c>
      <c r="C36">
        <v>31150.125959485089</v>
      </c>
      <c r="D36">
        <v>7924</v>
      </c>
      <c r="E36">
        <v>64888.633663366338</v>
      </c>
      <c r="F36">
        <v>17834.203207513139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8177.1807692307693</v>
      </c>
      <c r="C41">
        <v>37974.784313725489</v>
      </c>
      <c r="D41">
        <v>44631.980198019803</v>
      </c>
    </row>
    <row r="42" spans="1:6" x14ac:dyDescent="0.25">
      <c r="A42" t="s">
        <v>7</v>
      </c>
      <c r="B42">
        <v>7604.4057692307688</v>
      </c>
      <c r="C42">
        <v>27833.907843137251</v>
      </c>
      <c r="D42">
        <v>33113.731188118807</v>
      </c>
    </row>
    <row r="43" spans="1:6" ht="15" customHeight="1" x14ac:dyDescent="0.25">
      <c r="A43" s="1" t="s">
        <v>8</v>
      </c>
      <c r="B43">
        <v>7637.2692307692296</v>
      </c>
      <c r="C43">
        <v>32378.73529411765</v>
      </c>
      <c r="D43">
        <v>52573.641089108911</v>
      </c>
    </row>
    <row r="44" spans="1:6" x14ac:dyDescent="0.25">
      <c r="A44" t="s">
        <v>9</v>
      </c>
      <c r="B44">
        <v>8355.4673076923082</v>
      </c>
      <c r="C44">
        <v>36487.661764705881</v>
      </c>
      <c r="D44">
        <v>50233.89504950495</v>
      </c>
    </row>
    <row r="45" spans="1:6" x14ac:dyDescent="0.25">
      <c r="A45" t="s">
        <v>10</v>
      </c>
      <c r="B45">
        <v>7770.3653846153848</v>
      </c>
      <c r="C45">
        <v>35858.720588235286</v>
      </c>
      <c r="D45">
        <v>46646.304950495047</v>
      </c>
    </row>
    <row r="46" spans="1:6" x14ac:dyDescent="0.25">
      <c r="A46" t="s">
        <v>11</v>
      </c>
      <c r="B46">
        <v>8403.5653846153855</v>
      </c>
      <c r="C46">
        <v>41169.783333333333</v>
      </c>
      <c r="D46">
        <v>49966.750990099012</v>
      </c>
    </row>
    <row r="47" spans="1:6" ht="15" customHeight="1" x14ac:dyDescent="0.25">
      <c r="A47" s="1" t="s">
        <v>12</v>
      </c>
      <c r="B47">
        <v>8166.792307692308</v>
      </c>
      <c r="C47">
        <v>37848.02843137255</v>
      </c>
      <c r="D47">
        <v>51321.533168316833</v>
      </c>
    </row>
    <row r="48" spans="1:6" x14ac:dyDescent="0.25">
      <c r="A48" t="s">
        <v>13</v>
      </c>
      <c r="B48">
        <v>8370.2173076923082</v>
      </c>
      <c r="C48">
        <v>36612.232352941173</v>
      </c>
      <c r="D48">
        <v>48467.928217821784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8206.461538461539</v>
      </c>
      <c r="C53">
        <v>8590.3846153846152</v>
      </c>
      <c r="D53">
        <v>8533.6153846153848</v>
      </c>
      <c r="E53">
        <v>8021.5769230769229</v>
      </c>
      <c r="F53">
        <v>7913.8461538461543</v>
      </c>
      <c r="G53">
        <v>8540.1538461538457</v>
      </c>
      <c r="H53">
        <v>7871.8461538461543</v>
      </c>
      <c r="I53">
        <v>8047.5384615384619</v>
      </c>
      <c r="J53">
        <v>8054.1538461538457</v>
      </c>
      <c r="K53">
        <v>7923.1923076923076</v>
      </c>
      <c r="L53">
        <v>8010.3846153846152</v>
      </c>
      <c r="M53">
        <v>8429.0769230769238</v>
      </c>
      <c r="N53">
        <v>7929.5</v>
      </c>
      <c r="O53">
        <v>8585.1923076923085</v>
      </c>
      <c r="P53">
        <v>8130.3461538461543</v>
      </c>
      <c r="Q53">
        <v>8153.4230769230771</v>
      </c>
      <c r="R53">
        <v>8178.9615384615381</v>
      </c>
      <c r="S53">
        <v>7795.9615384615381</v>
      </c>
      <c r="T53">
        <v>8117.7307692307704</v>
      </c>
      <c r="U53">
        <v>8510.2692307692305</v>
      </c>
      <c r="V53">
        <v>39787.98039215686</v>
      </c>
      <c r="W53">
        <v>36229.196078431371</v>
      </c>
      <c r="X53">
        <v>39585.294117647063</v>
      </c>
      <c r="Y53">
        <v>39470.588235294119</v>
      </c>
      <c r="Z53">
        <v>35684.784313725489</v>
      </c>
      <c r="AA53">
        <v>39846.431372549021</v>
      </c>
      <c r="AB53">
        <v>37073.627450980392</v>
      </c>
      <c r="AC53">
        <v>40480.372549019608</v>
      </c>
      <c r="AD53">
        <v>40489.960784313727</v>
      </c>
      <c r="AE53">
        <v>35798.76470588235</v>
      </c>
      <c r="AF53">
        <v>36836.490196078426</v>
      </c>
      <c r="AG53">
        <v>38630.941176470587</v>
      </c>
      <c r="AH53">
        <v>37823.960784313727</v>
      </c>
      <c r="AI53">
        <v>38122.823529411762</v>
      </c>
      <c r="AJ53">
        <v>36798.705882352937</v>
      </c>
      <c r="AK53">
        <v>37018.274509803923</v>
      </c>
      <c r="AL53">
        <v>36042.568627450979</v>
      </c>
      <c r="AM53">
        <v>36893.431372549021</v>
      </c>
      <c r="AN53">
        <v>39615.862745098042</v>
      </c>
      <c r="AO53">
        <v>37265.627450980392</v>
      </c>
      <c r="AP53">
        <v>47467.603960396038</v>
      </c>
      <c r="AQ53">
        <v>41357.376237623757</v>
      </c>
      <c r="AR53">
        <v>47595.831683168319</v>
      </c>
      <c r="AS53">
        <v>44711.019801980197</v>
      </c>
      <c r="AT53">
        <v>45670.445544554459</v>
      </c>
      <c r="AU53">
        <v>44815.297029702968</v>
      </c>
      <c r="AV53">
        <v>46176.019801980197</v>
      </c>
      <c r="AW53">
        <v>42639.495049504949</v>
      </c>
      <c r="AX53">
        <v>42534.603960396038</v>
      </c>
      <c r="AY53">
        <v>45636.485148514847</v>
      </c>
      <c r="AZ53">
        <v>41814.69306930693</v>
      </c>
      <c r="BA53">
        <v>41891.990099009898</v>
      </c>
      <c r="BB53">
        <v>45306.198019801981</v>
      </c>
      <c r="BC53">
        <v>44079.366336633662</v>
      </c>
      <c r="BD53">
        <v>41249.257425742573</v>
      </c>
      <c r="BE53">
        <v>43709</v>
      </c>
      <c r="BF53">
        <v>50597.019801980197</v>
      </c>
      <c r="BG53">
        <v>48439.128712871287</v>
      </c>
      <c r="BH53">
        <v>43647.851485148523</v>
      </c>
      <c r="BI53">
        <v>43300.920792079211</v>
      </c>
    </row>
    <row r="54" spans="1:61" x14ac:dyDescent="0.25">
      <c r="A54" t="s">
        <v>7</v>
      </c>
      <c r="B54">
        <v>7623.1153846153848</v>
      </c>
      <c r="C54">
        <v>7622.7692307692296</v>
      </c>
      <c r="D54">
        <v>7688.0769230769229</v>
      </c>
      <c r="E54">
        <v>7666.1538461538457</v>
      </c>
      <c r="F54">
        <v>7610.2692307692296</v>
      </c>
      <c r="G54">
        <v>7645.5</v>
      </c>
      <c r="H54">
        <v>7619</v>
      </c>
      <c r="I54">
        <v>7647.3846153846152</v>
      </c>
      <c r="J54">
        <v>7697.1153846153848</v>
      </c>
      <c r="K54">
        <v>7665.6538461538457</v>
      </c>
      <c r="L54">
        <v>7490</v>
      </c>
      <c r="M54">
        <v>7583.6538461538457</v>
      </c>
      <c r="N54">
        <v>7486.8461538461543</v>
      </c>
      <c r="O54">
        <v>7601.3846153846152</v>
      </c>
      <c r="P54">
        <v>7632.8846153846152</v>
      </c>
      <c r="Q54">
        <v>7464.6538461538457</v>
      </c>
      <c r="R54">
        <v>7586.3846153846152</v>
      </c>
      <c r="S54">
        <v>7562</v>
      </c>
      <c r="T54">
        <v>7588.6923076923076</v>
      </c>
      <c r="U54">
        <v>7606.5769230769229</v>
      </c>
      <c r="V54">
        <v>28421.372549019608</v>
      </c>
      <c r="W54">
        <v>27723.803921568629</v>
      </c>
      <c r="X54">
        <v>27393.784313725489</v>
      </c>
      <c r="Y54">
        <v>28085.078431372549</v>
      </c>
      <c r="Z54">
        <v>27345.450980392161</v>
      </c>
      <c r="AA54">
        <v>27627.901960784311</v>
      </c>
      <c r="AB54">
        <v>27499.921568627451</v>
      </c>
      <c r="AC54">
        <v>27526.647058823532</v>
      </c>
      <c r="AD54">
        <v>28546.01960784314</v>
      </c>
      <c r="AE54">
        <v>28784.176470588231</v>
      </c>
      <c r="AF54">
        <v>28092.705882352941</v>
      </c>
      <c r="AG54">
        <v>27995.98039215686</v>
      </c>
      <c r="AH54">
        <v>28141.431372549021</v>
      </c>
      <c r="AI54">
        <v>27342.078431372549</v>
      </c>
      <c r="AJ54">
        <v>27646.705882352941</v>
      </c>
      <c r="AK54">
        <v>27637.47058823529</v>
      </c>
      <c r="AL54">
        <v>27539.705882352941</v>
      </c>
      <c r="AM54">
        <v>27385.862745098038</v>
      </c>
      <c r="AN54">
        <v>27711.686274509801</v>
      </c>
      <c r="AO54">
        <v>28230.372549019608</v>
      </c>
      <c r="AP54">
        <v>32854.841584158406</v>
      </c>
      <c r="AQ54">
        <v>32156.9702970297</v>
      </c>
      <c r="AR54">
        <v>33446.118811881192</v>
      </c>
      <c r="AS54">
        <v>32785.673267326732</v>
      </c>
      <c r="AT54">
        <v>33772.108910891089</v>
      </c>
      <c r="AU54">
        <v>33940.782178217822</v>
      </c>
      <c r="AV54">
        <v>33369.415841584159</v>
      </c>
      <c r="AW54">
        <v>32292.910891089108</v>
      </c>
      <c r="AX54">
        <v>32467.82178217822</v>
      </c>
      <c r="AY54">
        <v>33232.851485148523</v>
      </c>
      <c r="AZ54">
        <v>34536.069306930687</v>
      </c>
      <c r="BA54">
        <v>32926.712871287127</v>
      </c>
      <c r="BB54">
        <v>32381.158415841579</v>
      </c>
      <c r="BC54">
        <v>32563.405940594061</v>
      </c>
      <c r="BD54">
        <v>32617.405940594061</v>
      </c>
      <c r="BE54">
        <v>32583.504950495051</v>
      </c>
      <c r="BF54">
        <v>33561.217821782178</v>
      </c>
      <c r="BG54">
        <v>32645.188118811879</v>
      </c>
      <c r="BH54">
        <v>33762.356435643567</v>
      </c>
      <c r="BI54">
        <v>34378.108910891089</v>
      </c>
    </row>
    <row r="55" spans="1:61" x14ac:dyDescent="0.25">
      <c r="A55" t="s">
        <v>8</v>
      </c>
      <c r="B55">
        <v>7637.2692307692296</v>
      </c>
      <c r="C55">
        <v>7637.2692307692296</v>
      </c>
      <c r="D55">
        <v>7637.2692307692296</v>
      </c>
      <c r="E55">
        <v>7637.2692307692296</v>
      </c>
      <c r="F55">
        <v>7637.2692307692296</v>
      </c>
      <c r="G55">
        <v>7637.2692307692296</v>
      </c>
      <c r="H55">
        <v>7637.2692307692296</v>
      </c>
      <c r="I55">
        <v>7637.2692307692296</v>
      </c>
      <c r="J55">
        <v>7637.2692307692296</v>
      </c>
      <c r="K55">
        <v>7637.2692307692296</v>
      </c>
      <c r="L55">
        <v>7637.2692307692296</v>
      </c>
      <c r="M55">
        <v>7637.2692307692296</v>
      </c>
      <c r="N55">
        <v>7637.2692307692296</v>
      </c>
      <c r="O55">
        <v>7637.2692307692296</v>
      </c>
      <c r="P55">
        <v>7637.2692307692296</v>
      </c>
      <c r="Q55">
        <v>7637.2692307692296</v>
      </c>
      <c r="R55">
        <v>7637.2692307692296</v>
      </c>
      <c r="S55">
        <v>7637.2692307692296</v>
      </c>
      <c r="T55">
        <v>7637.2692307692296</v>
      </c>
      <c r="U55">
        <v>7637.2692307692296</v>
      </c>
      <c r="V55">
        <v>32378.96078431372</v>
      </c>
      <c r="W55">
        <v>32378.843137254898</v>
      </c>
      <c r="X55">
        <v>32380.411764705881</v>
      </c>
      <c r="Y55">
        <v>32379.098039215689</v>
      </c>
      <c r="Z55">
        <v>32379.450980392161</v>
      </c>
      <c r="AA55">
        <v>32378.294117647059</v>
      </c>
      <c r="AB55">
        <v>32377.941176470591</v>
      </c>
      <c r="AC55">
        <v>32377.352941176468</v>
      </c>
      <c r="AD55">
        <v>32378.431372549021</v>
      </c>
      <c r="AE55">
        <v>32379.47058823529</v>
      </c>
      <c r="AF55">
        <v>32377.784313725489</v>
      </c>
      <c r="AG55">
        <v>32376.862745098038</v>
      </c>
      <c r="AH55">
        <v>32380.078431372549</v>
      </c>
      <c r="AI55">
        <v>32378.647058823532</v>
      </c>
      <c r="AJ55">
        <v>32378.686274509801</v>
      </c>
      <c r="AK55">
        <v>32379</v>
      </c>
      <c r="AL55">
        <v>32377.627450980392</v>
      </c>
      <c r="AM55">
        <v>32378.411764705881</v>
      </c>
      <c r="AN55">
        <v>32381.137254901962</v>
      </c>
      <c r="AO55">
        <v>32378.215686274511</v>
      </c>
      <c r="AP55">
        <v>52575.247524752478</v>
      </c>
      <c r="AQ55">
        <v>52573.049504950497</v>
      </c>
      <c r="AR55">
        <v>52573.841584158406</v>
      </c>
      <c r="AS55">
        <v>52574.188118811879</v>
      </c>
      <c r="AT55">
        <v>52573.594059405943</v>
      </c>
      <c r="AU55">
        <v>52574.158415841594</v>
      </c>
      <c r="AV55">
        <v>52574.900990099013</v>
      </c>
      <c r="AW55">
        <v>52573.772277227719</v>
      </c>
      <c r="AX55">
        <v>52572.881188118808</v>
      </c>
      <c r="AY55">
        <v>52573.198019801981</v>
      </c>
      <c r="AZ55">
        <v>52571.425742574247</v>
      </c>
      <c r="BA55">
        <v>52573.772277227719</v>
      </c>
      <c r="BB55">
        <v>52574.108910891089</v>
      </c>
      <c r="BC55">
        <v>52574.861386138611</v>
      </c>
      <c r="BD55">
        <v>52571.712871287127</v>
      </c>
      <c r="BE55">
        <v>52573.673267326732</v>
      </c>
      <c r="BF55">
        <v>52572.792079207917</v>
      </c>
      <c r="BG55">
        <v>52574.544554455453</v>
      </c>
      <c r="BH55">
        <v>52575.574257425753</v>
      </c>
      <c r="BI55">
        <v>52571.524752475249</v>
      </c>
    </row>
    <row r="56" spans="1:61" x14ac:dyDescent="0.25">
      <c r="A56" t="s">
        <v>9</v>
      </c>
      <c r="B56">
        <v>8052.0384615384619</v>
      </c>
      <c r="C56">
        <v>8594.538461538461</v>
      </c>
      <c r="D56">
        <v>8252.1153846153848</v>
      </c>
      <c r="E56">
        <v>8282.4230769230762</v>
      </c>
      <c r="F56">
        <v>9093.7307692307695</v>
      </c>
      <c r="G56">
        <v>7857</v>
      </c>
      <c r="H56">
        <v>7854.3461538461543</v>
      </c>
      <c r="I56">
        <v>7991.7692307692296</v>
      </c>
      <c r="J56">
        <v>8523.1153846153848</v>
      </c>
      <c r="K56">
        <v>8479.1153846153848</v>
      </c>
      <c r="L56">
        <v>8909.8076923076915</v>
      </c>
      <c r="M56">
        <v>8279.038461538461</v>
      </c>
      <c r="N56">
        <v>7729.0384615384619</v>
      </c>
      <c r="O56">
        <v>9132.1153846153848</v>
      </c>
      <c r="P56">
        <v>7934.8846153846152</v>
      </c>
      <c r="Q56">
        <v>8368.6538461538457</v>
      </c>
      <c r="R56">
        <v>8430.1538461538457</v>
      </c>
      <c r="S56">
        <v>8545.4230769230762</v>
      </c>
      <c r="T56">
        <v>8021.7307692307704</v>
      </c>
      <c r="U56">
        <v>8778.3076923076915</v>
      </c>
      <c r="V56">
        <v>36799.078431372553</v>
      </c>
      <c r="W56">
        <v>36062.333333333343</v>
      </c>
      <c r="X56">
        <v>34361.941176470587</v>
      </c>
      <c r="Y56">
        <v>40702.117647058833</v>
      </c>
      <c r="Z56">
        <v>41624.862745098042</v>
      </c>
      <c r="AA56">
        <v>32894.254901960783</v>
      </c>
      <c r="AB56">
        <v>32081.823529411769</v>
      </c>
      <c r="AC56">
        <v>42739.01960784314</v>
      </c>
      <c r="AD56">
        <v>35082.823529411762</v>
      </c>
      <c r="AE56">
        <v>40564.843137254902</v>
      </c>
      <c r="AF56">
        <v>33638.882352941167</v>
      </c>
      <c r="AG56">
        <v>35229.803921568629</v>
      </c>
      <c r="AH56">
        <v>38103.666666666657</v>
      </c>
      <c r="AI56">
        <v>32482.313725490199</v>
      </c>
      <c r="AJ56">
        <v>38080</v>
      </c>
      <c r="AK56">
        <v>32510.352941176468</v>
      </c>
      <c r="AL56">
        <v>36222.274509803923</v>
      </c>
      <c r="AM56">
        <v>35104.039215686273</v>
      </c>
      <c r="AN56">
        <v>39661.882352941167</v>
      </c>
      <c r="AO56">
        <v>35806.921568627447</v>
      </c>
      <c r="AP56">
        <v>56569.891089108911</v>
      </c>
      <c r="AQ56">
        <v>40535.910891089108</v>
      </c>
      <c r="AR56">
        <v>63558.326732673268</v>
      </c>
      <c r="AS56">
        <v>45381.534653465344</v>
      </c>
      <c r="AT56">
        <v>59343.178217821784</v>
      </c>
      <c r="AU56">
        <v>56510.801980198019</v>
      </c>
      <c r="AV56">
        <v>48010.049504950497</v>
      </c>
      <c r="AW56">
        <v>39107.405940594057</v>
      </c>
      <c r="AX56">
        <v>54707.019801980197</v>
      </c>
      <c r="AY56">
        <v>39430.544554455453</v>
      </c>
      <c r="AZ56">
        <v>53232.33663366337</v>
      </c>
      <c r="BA56">
        <v>49160.019801980197</v>
      </c>
      <c r="BB56">
        <v>56094.871287128713</v>
      </c>
      <c r="BC56">
        <v>69293.089108910892</v>
      </c>
      <c r="BD56">
        <v>40500.821782178216</v>
      </c>
      <c r="BE56">
        <v>40578.346534653458</v>
      </c>
      <c r="BF56">
        <v>38899.138613861389</v>
      </c>
      <c r="BG56">
        <v>71141.643564356433</v>
      </c>
      <c r="BH56">
        <v>48787.158415841594</v>
      </c>
      <c r="BI56">
        <v>33835.811881188121</v>
      </c>
    </row>
    <row r="57" spans="1:61" x14ac:dyDescent="0.25">
      <c r="A57" t="s">
        <v>10</v>
      </c>
      <c r="B57">
        <v>7755.1538461538457</v>
      </c>
      <c r="C57">
        <v>7929.3076923076924</v>
      </c>
      <c r="D57">
        <v>7701.5</v>
      </c>
      <c r="E57">
        <v>7767.3846153846152</v>
      </c>
      <c r="F57">
        <v>7910.8846153846152</v>
      </c>
      <c r="G57">
        <v>7868</v>
      </c>
      <c r="H57">
        <v>7763.6153846153848</v>
      </c>
      <c r="I57">
        <v>7842.0769230769229</v>
      </c>
      <c r="J57">
        <v>7838.0769230769229</v>
      </c>
      <c r="K57">
        <v>7928.2692307692296</v>
      </c>
      <c r="L57">
        <v>7678.1153846153848</v>
      </c>
      <c r="M57">
        <v>7702.6153846153848</v>
      </c>
      <c r="N57">
        <v>7671.7692307692296</v>
      </c>
      <c r="O57">
        <v>7775.1538461538457</v>
      </c>
      <c r="P57">
        <v>7671.7307692307704</v>
      </c>
      <c r="Q57">
        <v>7809.3076923076924</v>
      </c>
      <c r="R57">
        <v>7738.3846153846152</v>
      </c>
      <c r="S57">
        <v>7694.8846153846152</v>
      </c>
      <c r="T57">
        <v>7760.4230769230771</v>
      </c>
      <c r="U57">
        <v>7600.6538461538457</v>
      </c>
      <c r="V57">
        <v>33364.607843137252</v>
      </c>
      <c r="W57">
        <v>30766.843137254898</v>
      </c>
      <c r="X57">
        <v>33259.745098039217</v>
      </c>
      <c r="Y57">
        <v>38382.862745098042</v>
      </c>
      <c r="Z57">
        <v>34832.568627450979</v>
      </c>
      <c r="AA57">
        <v>36042.372549019608</v>
      </c>
      <c r="AB57">
        <v>33993.098039215693</v>
      </c>
      <c r="AC57">
        <v>38206</v>
      </c>
      <c r="AD57">
        <v>37677.137254901958</v>
      </c>
      <c r="AE57">
        <v>36158.058823529413</v>
      </c>
      <c r="AF57">
        <v>45626.23529411765</v>
      </c>
      <c r="AG57">
        <v>33987.098039215693</v>
      </c>
      <c r="AH57">
        <v>35601.76470588235</v>
      </c>
      <c r="AI57">
        <v>32357.333333333328</v>
      </c>
      <c r="AJ57">
        <v>37251.431372549021</v>
      </c>
      <c r="AK57">
        <v>38544.372549019608</v>
      </c>
      <c r="AL57">
        <v>37148</v>
      </c>
      <c r="AM57">
        <v>35946.411764705881</v>
      </c>
      <c r="AN57">
        <v>34681.588235294119</v>
      </c>
      <c r="AO57">
        <v>33346.882352941167</v>
      </c>
      <c r="AP57">
        <v>55409.445544554459</v>
      </c>
      <c r="AQ57">
        <v>42498.455445544547</v>
      </c>
      <c r="AR57">
        <v>42119.821782178216</v>
      </c>
      <c r="AS57">
        <v>37924.316831683172</v>
      </c>
      <c r="AT57">
        <v>47725.495049504949</v>
      </c>
      <c r="AU57">
        <v>38913.574257425753</v>
      </c>
      <c r="AV57">
        <v>35395.009900990102</v>
      </c>
      <c r="AW57">
        <v>49686.653465346542</v>
      </c>
      <c r="AX57">
        <v>46730.851485148523</v>
      </c>
      <c r="AY57">
        <v>61855.712871287127</v>
      </c>
      <c r="AZ57">
        <v>50653.841584158406</v>
      </c>
      <c r="BA57">
        <v>47445.792079207917</v>
      </c>
      <c r="BB57">
        <v>42342.0297029703</v>
      </c>
      <c r="BC57">
        <v>46971.108910891089</v>
      </c>
      <c r="BD57">
        <v>46950.267326732683</v>
      </c>
      <c r="BE57">
        <v>45310.762376237617</v>
      </c>
      <c r="BF57">
        <v>49858.108910891089</v>
      </c>
      <c r="BG57">
        <v>54207.366336633662</v>
      </c>
      <c r="BH57">
        <v>46931.594059405943</v>
      </c>
      <c r="BI57">
        <v>43995.891089108911</v>
      </c>
    </row>
    <row r="58" spans="1:61" x14ac:dyDescent="0.25">
      <c r="A58" t="s">
        <v>11</v>
      </c>
      <c r="B58">
        <v>8437.9230769230762</v>
      </c>
      <c r="C58">
        <v>8124.9615384615381</v>
      </c>
      <c r="D58">
        <v>8599.6923076923085</v>
      </c>
      <c r="E58">
        <v>8145.0769230769229</v>
      </c>
      <c r="F58">
        <v>8877.3461538461543</v>
      </c>
      <c r="G58">
        <v>8752.6153846153848</v>
      </c>
      <c r="H58">
        <v>8446.8076923076915</v>
      </c>
      <c r="I58">
        <v>8265</v>
      </c>
      <c r="J58">
        <v>8728.2307692307695</v>
      </c>
      <c r="K58">
        <v>9848.7307692307695</v>
      </c>
      <c r="L58">
        <v>8011.2307692307704</v>
      </c>
      <c r="M58">
        <v>8209.4230769230762</v>
      </c>
      <c r="N58">
        <v>8269.8461538461543</v>
      </c>
      <c r="O58">
        <v>8388.1923076923085</v>
      </c>
      <c r="P58">
        <v>8125.8846153846152</v>
      </c>
      <c r="Q58">
        <v>8354.3461538461543</v>
      </c>
      <c r="R58">
        <v>8016.2692307692296</v>
      </c>
      <c r="S58">
        <v>8424.1153846153848</v>
      </c>
      <c r="T58">
        <v>7910.5769230769229</v>
      </c>
      <c r="U58">
        <v>8135.0384615384619</v>
      </c>
      <c r="V58">
        <v>38498.098039215693</v>
      </c>
      <c r="W58">
        <v>40639.901960784307</v>
      </c>
      <c r="X58">
        <v>41191.627450980392</v>
      </c>
      <c r="Y58">
        <v>38490.294117647063</v>
      </c>
      <c r="Z58">
        <v>32062.74509803922</v>
      </c>
      <c r="AA58">
        <v>45189.76470588235</v>
      </c>
      <c r="AB58">
        <v>37806.156862745098</v>
      </c>
      <c r="AC58">
        <v>55858.176470588238</v>
      </c>
      <c r="AD58">
        <v>36290.215686274511</v>
      </c>
      <c r="AE58">
        <v>62987.490196078426</v>
      </c>
      <c r="AF58">
        <v>35048.156862745098</v>
      </c>
      <c r="AG58">
        <v>45098.176470588238</v>
      </c>
      <c r="AH58">
        <v>35209.372549019608</v>
      </c>
      <c r="AI58">
        <v>31568.058823529409</v>
      </c>
      <c r="AJ58">
        <v>34561.176470588238</v>
      </c>
      <c r="AK58">
        <v>40841.745098039217</v>
      </c>
      <c r="AL58">
        <v>54189.725490196077</v>
      </c>
      <c r="AM58">
        <v>44383.607843137252</v>
      </c>
      <c r="AN58">
        <v>32355.215686274511</v>
      </c>
      <c r="AO58">
        <v>41125.960784313727</v>
      </c>
      <c r="AP58">
        <v>46772.514851485153</v>
      </c>
      <c r="AQ58">
        <v>41594.811881188121</v>
      </c>
      <c r="AR58">
        <v>43957.366336633662</v>
      </c>
      <c r="AS58">
        <v>40135.415841584159</v>
      </c>
      <c r="AT58">
        <v>44508.128712871287</v>
      </c>
      <c r="AU58">
        <v>75316.643564356433</v>
      </c>
      <c r="AV58">
        <v>41755.980198019803</v>
      </c>
      <c r="AW58">
        <v>40128.564356435643</v>
      </c>
      <c r="AX58">
        <v>57913.683168316828</v>
      </c>
      <c r="AY58">
        <v>45743.762376237617</v>
      </c>
      <c r="AZ58">
        <v>69609.504950495044</v>
      </c>
      <c r="BA58">
        <v>50181.742574257427</v>
      </c>
      <c r="BB58">
        <v>66031.574257425746</v>
      </c>
      <c r="BC58">
        <v>55076.30693069307</v>
      </c>
      <c r="BD58">
        <v>42066.831683168319</v>
      </c>
      <c r="BE58">
        <v>58426.019801980197</v>
      </c>
      <c r="BF58">
        <v>42855.425742574247</v>
      </c>
      <c r="BG58">
        <v>48638.217821782178</v>
      </c>
      <c r="BH58">
        <v>46967.584158415841</v>
      </c>
      <c r="BI58">
        <v>41654.940594059408</v>
      </c>
    </row>
    <row r="59" spans="1:61" ht="15" customHeight="1" x14ac:dyDescent="0.25">
      <c r="A59" s="1" t="s">
        <v>12</v>
      </c>
      <c r="B59">
        <v>8296.2307692307695</v>
      </c>
      <c r="C59">
        <v>7895.9230769230771</v>
      </c>
      <c r="D59">
        <v>8095.3076923076924</v>
      </c>
      <c r="E59">
        <v>8061.9615384615381</v>
      </c>
      <c r="F59">
        <v>8223.0769230769238</v>
      </c>
      <c r="G59">
        <v>8227.6153846153848</v>
      </c>
      <c r="H59">
        <v>8089.1153846153848</v>
      </c>
      <c r="I59">
        <v>8140.6923076923076</v>
      </c>
      <c r="J59">
        <v>8347.7692307692305</v>
      </c>
      <c r="K59">
        <v>7792.4230769230771</v>
      </c>
      <c r="L59">
        <v>8135.3076923076924</v>
      </c>
      <c r="M59">
        <v>8274.5</v>
      </c>
      <c r="N59">
        <v>7930.4230769230771</v>
      </c>
      <c r="O59">
        <v>8302.1153846153848</v>
      </c>
      <c r="P59">
        <v>8311.6923076923085</v>
      </c>
      <c r="Q59">
        <v>8388.4230769230762</v>
      </c>
      <c r="R59">
        <v>8156.8846153846152</v>
      </c>
      <c r="S59">
        <v>7991.0769230769229</v>
      </c>
      <c r="T59">
        <v>8316.6153846153848</v>
      </c>
      <c r="U59">
        <v>8358.6923076923085</v>
      </c>
      <c r="V59">
        <v>31426.058823529409</v>
      </c>
      <c r="W59">
        <v>35826.823529411762</v>
      </c>
      <c r="X59">
        <v>40921.411764705881</v>
      </c>
      <c r="Y59">
        <v>40044.490196078426</v>
      </c>
      <c r="Z59">
        <v>35069.058823529413</v>
      </c>
      <c r="AA59">
        <v>42095.666666666657</v>
      </c>
      <c r="AB59">
        <v>34642.039215686273</v>
      </c>
      <c r="AC59">
        <v>33054.333333333343</v>
      </c>
      <c r="AD59">
        <v>32364.941176470591</v>
      </c>
      <c r="AE59">
        <v>39237.137254901958</v>
      </c>
      <c r="AF59">
        <v>36955.411764705881</v>
      </c>
      <c r="AG59">
        <v>35897.705882352937</v>
      </c>
      <c r="AH59">
        <v>39232.058823529413</v>
      </c>
      <c r="AI59">
        <v>37466.529411764714</v>
      </c>
      <c r="AJ59">
        <v>31973.215686274511</v>
      </c>
      <c r="AK59">
        <v>36352.01960784314</v>
      </c>
      <c r="AL59">
        <v>48957.23529411765</v>
      </c>
      <c r="AM59">
        <v>39439.607843137252</v>
      </c>
      <c r="AN59">
        <v>41362.431372549021</v>
      </c>
      <c r="AO59">
        <v>44642.392156862748</v>
      </c>
      <c r="AP59">
        <v>50234.148514851477</v>
      </c>
      <c r="AQ59">
        <v>72616.574257425746</v>
      </c>
      <c r="AR59">
        <v>48638.148514851477</v>
      </c>
      <c r="AS59">
        <v>48664.168316831681</v>
      </c>
      <c r="AT59">
        <v>44806.673267326732</v>
      </c>
      <c r="AU59">
        <v>53045.504950495051</v>
      </c>
      <c r="AV59">
        <v>69559.801980198026</v>
      </c>
      <c r="AW59">
        <v>46142.762376237617</v>
      </c>
      <c r="AX59">
        <v>63389.900990099013</v>
      </c>
      <c r="AY59">
        <v>51748.089108910892</v>
      </c>
      <c r="AZ59">
        <v>38429.326732673268</v>
      </c>
      <c r="BA59">
        <v>45608.0297029703</v>
      </c>
      <c r="BB59">
        <v>53380.851485148523</v>
      </c>
      <c r="BC59">
        <v>48487.900990099013</v>
      </c>
      <c r="BD59">
        <v>45408.762376237617</v>
      </c>
      <c r="BE59">
        <v>54572.079207920789</v>
      </c>
      <c r="BF59">
        <v>45691.940594059408</v>
      </c>
      <c r="BG59">
        <v>46582.188118811879</v>
      </c>
      <c r="BH59">
        <v>47658.485148514847</v>
      </c>
      <c r="BI59">
        <v>51765.326732673268</v>
      </c>
    </row>
    <row r="60" spans="1:61" x14ac:dyDescent="0.25">
      <c r="A60" t="s">
        <v>13</v>
      </c>
      <c r="B60">
        <v>8544.6153846153848</v>
      </c>
      <c r="C60">
        <v>8627.461538461539</v>
      </c>
      <c r="D60">
        <v>8085.3076923076924</v>
      </c>
      <c r="E60">
        <v>8879.5769230769238</v>
      </c>
      <c r="F60">
        <v>7986.4615384615381</v>
      </c>
      <c r="G60">
        <v>8198.8076923076915</v>
      </c>
      <c r="H60">
        <v>8161.3461538461543</v>
      </c>
      <c r="I60">
        <v>8275.461538461539</v>
      </c>
      <c r="J60">
        <v>7926.1153846153848</v>
      </c>
      <c r="K60">
        <v>8992.8076923076915</v>
      </c>
      <c r="L60">
        <v>8232</v>
      </c>
      <c r="M60">
        <v>8633</v>
      </c>
      <c r="N60">
        <v>8824.1538461538457</v>
      </c>
      <c r="O60">
        <v>7924</v>
      </c>
      <c r="P60">
        <v>8105.7307692307704</v>
      </c>
      <c r="Q60">
        <v>8457.9230769230762</v>
      </c>
      <c r="R60">
        <v>8394.538461538461</v>
      </c>
      <c r="S60">
        <v>8336.1923076923085</v>
      </c>
      <c r="T60">
        <v>8484.461538461539</v>
      </c>
      <c r="U60">
        <v>8334.3846153846152</v>
      </c>
      <c r="V60">
        <v>34393.549019607854</v>
      </c>
      <c r="W60">
        <v>33654.294117647063</v>
      </c>
      <c r="X60">
        <v>48106.862745098042</v>
      </c>
      <c r="Y60">
        <v>34626.98039215686</v>
      </c>
      <c r="Z60">
        <v>52426.705882352937</v>
      </c>
      <c r="AA60">
        <v>44520.254901960783</v>
      </c>
      <c r="AB60">
        <v>41228.76470588235</v>
      </c>
      <c r="AC60">
        <v>35506.058823529413</v>
      </c>
      <c r="AD60">
        <v>33809.627450980392</v>
      </c>
      <c r="AE60">
        <v>44570.01960784314</v>
      </c>
      <c r="AF60">
        <v>28746.294117647059</v>
      </c>
      <c r="AG60">
        <v>39876.921568627447</v>
      </c>
      <c r="AH60">
        <v>32646.372549019608</v>
      </c>
      <c r="AI60">
        <v>28034.411764705881</v>
      </c>
      <c r="AJ60">
        <v>31138.96078431372</v>
      </c>
      <c r="AK60">
        <v>28897.803921568629</v>
      </c>
      <c r="AL60">
        <v>34663.921568627447</v>
      </c>
      <c r="AM60">
        <v>35568.784313725489</v>
      </c>
      <c r="AN60">
        <v>32841.705882352937</v>
      </c>
      <c r="AO60">
        <v>36986.352941176468</v>
      </c>
      <c r="AP60">
        <v>49224.435643564357</v>
      </c>
      <c r="AQ60">
        <v>58173.920792079211</v>
      </c>
      <c r="AR60">
        <v>48972.940594059408</v>
      </c>
      <c r="AS60">
        <v>46727.900990099013</v>
      </c>
      <c r="AT60">
        <v>64888.633663366338</v>
      </c>
      <c r="AU60">
        <v>41148.059405940592</v>
      </c>
      <c r="AV60">
        <v>63196.673267326732</v>
      </c>
      <c r="AW60">
        <v>39585.099009900987</v>
      </c>
      <c r="AX60">
        <v>46947.405940594057</v>
      </c>
      <c r="AY60">
        <v>55133.712871287127</v>
      </c>
      <c r="AZ60">
        <v>40354.990099009898</v>
      </c>
      <c r="BA60">
        <v>55558.633663366338</v>
      </c>
      <c r="BB60">
        <v>36666.841584158406</v>
      </c>
      <c r="BC60">
        <v>44094.445544554459</v>
      </c>
      <c r="BD60">
        <v>54764.465346534656</v>
      </c>
      <c r="BE60">
        <v>52269.534653465344</v>
      </c>
      <c r="BF60">
        <v>44463.66336633663</v>
      </c>
      <c r="BG60">
        <v>48446.920792079211</v>
      </c>
      <c r="BH60">
        <v>41334.514851485153</v>
      </c>
      <c r="BI60">
        <v>37405.772277227719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60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50" width="20" customWidth="1"/>
    <col min="51" max="51" width="19" customWidth="1"/>
    <col min="52" max="53" width="20" customWidth="1"/>
    <col min="54" max="54" width="19" customWidth="1"/>
    <col min="55" max="56" width="20" customWidth="1"/>
    <col min="57" max="58" width="19" customWidth="1"/>
    <col min="59" max="61" width="20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30053162.099000581</v>
      </c>
      <c r="D2">
        <v>28592606.307870369</v>
      </c>
      <c r="E2">
        <v>31176105.717592601</v>
      </c>
      <c r="F2">
        <v>654574.62659736793</v>
      </c>
    </row>
    <row r="3" spans="1:6" x14ac:dyDescent="0.25">
      <c r="A3" t="s">
        <v>6</v>
      </c>
      <c r="B3">
        <v>2</v>
      </c>
      <c r="C3">
        <v>137794210.3419311</v>
      </c>
      <c r="D3">
        <v>129159308.7121643</v>
      </c>
      <c r="E3">
        <v>151795176.30490741</v>
      </c>
      <c r="F3">
        <v>7825667.0528305899</v>
      </c>
    </row>
    <row r="4" spans="1:6" x14ac:dyDescent="0.25">
      <c r="A4" t="s">
        <v>6</v>
      </c>
      <c r="B4">
        <v>3</v>
      </c>
      <c r="C4">
        <v>195766802.67352951</v>
      </c>
      <c r="D4">
        <v>163377617.25629631</v>
      </c>
      <c r="E4">
        <v>276779770.47685188</v>
      </c>
      <c r="F4">
        <v>29857896.468052588</v>
      </c>
    </row>
    <row r="5" spans="1:6" x14ac:dyDescent="0.25">
      <c r="A5" t="s">
        <v>7</v>
      </c>
      <c r="B5">
        <v>1</v>
      </c>
      <c r="C5">
        <v>30830231.291666672</v>
      </c>
      <c r="D5">
        <v>29446414.166666672</v>
      </c>
      <c r="E5">
        <v>32657686.666666672</v>
      </c>
      <c r="F5">
        <v>739265.80180592393</v>
      </c>
    </row>
    <row r="6" spans="1:6" x14ac:dyDescent="0.25">
      <c r="A6" t="s">
        <v>7</v>
      </c>
      <c r="B6">
        <v>2</v>
      </c>
      <c r="C6">
        <v>152715257.75</v>
      </c>
      <c r="D6">
        <v>144790462.5</v>
      </c>
      <c r="E6">
        <v>167586667.5</v>
      </c>
      <c r="F6">
        <v>6843214.09645807</v>
      </c>
    </row>
    <row r="7" spans="1:6" x14ac:dyDescent="0.25">
      <c r="A7" t="s">
        <v>7</v>
      </c>
      <c r="B7">
        <v>3</v>
      </c>
      <c r="C7">
        <v>223791749.375</v>
      </c>
      <c r="D7">
        <v>192477869.16666669</v>
      </c>
      <c r="E7">
        <v>282785859.16666669</v>
      </c>
      <c r="F7">
        <v>23959924.20852045</v>
      </c>
    </row>
    <row r="8" spans="1:6" x14ac:dyDescent="0.25">
      <c r="A8" t="s">
        <v>8</v>
      </c>
      <c r="B8">
        <v>1</v>
      </c>
      <c r="C8">
        <v>31032581.333333328</v>
      </c>
      <c r="D8">
        <v>31013573.333333328</v>
      </c>
      <c r="E8">
        <v>31056453.333333328</v>
      </c>
      <c r="F8">
        <v>9915.0439232511726</v>
      </c>
    </row>
    <row r="9" spans="1:6" x14ac:dyDescent="0.25">
      <c r="A9" t="s">
        <v>8</v>
      </c>
      <c r="B9">
        <v>2</v>
      </c>
      <c r="C9">
        <v>181313482.83333331</v>
      </c>
      <c r="D9">
        <v>181285610.83333331</v>
      </c>
      <c r="E9">
        <v>181339370.83333331</v>
      </c>
      <c r="F9">
        <v>13952.11009130877</v>
      </c>
    </row>
    <row r="10" spans="1:6" x14ac:dyDescent="0.25">
      <c r="A10" t="s">
        <v>8</v>
      </c>
      <c r="B10">
        <v>3</v>
      </c>
      <c r="C10">
        <v>528891146.83333337</v>
      </c>
      <c r="D10">
        <v>528864810.83333337</v>
      </c>
      <c r="E10">
        <v>528916650.83333337</v>
      </c>
      <c r="F10">
        <v>14890.525309739751</v>
      </c>
    </row>
    <row r="11" spans="1:6" x14ac:dyDescent="0.25">
      <c r="A11" t="s">
        <v>9</v>
      </c>
      <c r="B11">
        <v>1</v>
      </c>
      <c r="C11">
        <v>34610874.125</v>
      </c>
      <c r="D11">
        <v>30891866.666666672</v>
      </c>
      <c r="E11">
        <v>41997700</v>
      </c>
      <c r="F11">
        <v>2964903.5291609182</v>
      </c>
    </row>
    <row r="12" spans="1:6" ht="15" customHeight="1" x14ac:dyDescent="0.25">
      <c r="A12" s="1" t="s">
        <v>9</v>
      </c>
      <c r="B12">
        <v>2</v>
      </c>
      <c r="C12">
        <v>205520126.33333331</v>
      </c>
      <c r="D12">
        <v>154162567.5</v>
      </c>
      <c r="E12">
        <v>285142600</v>
      </c>
      <c r="F12">
        <v>38286655.833355732</v>
      </c>
    </row>
    <row r="13" spans="1:6" x14ac:dyDescent="0.25">
      <c r="A13" t="s">
        <v>9</v>
      </c>
      <c r="B13">
        <v>3</v>
      </c>
      <c r="C13">
        <v>416136466.16666669</v>
      </c>
      <c r="D13">
        <v>244480476.66666669</v>
      </c>
      <c r="E13">
        <v>764317464.16666663</v>
      </c>
      <c r="F13">
        <v>122627321.91711131</v>
      </c>
    </row>
    <row r="14" spans="1:6" x14ac:dyDescent="0.25">
      <c r="A14" t="s">
        <v>10</v>
      </c>
      <c r="B14">
        <v>1</v>
      </c>
      <c r="C14">
        <v>31785258.416666672</v>
      </c>
      <c r="D14">
        <v>31549060</v>
      </c>
      <c r="E14">
        <v>32278740</v>
      </c>
      <c r="F14">
        <v>160501.58814416299</v>
      </c>
    </row>
    <row r="15" spans="1:6" x14ac:dyDescent="0.25">
      <c r="A15" t="s">
        <v>10</v>
      </c>
      <c r="B15">
        <v>2</v>
      </c>
      <c r="C15">
        <v>185264529.33333331</v>
      </c>
      <c r="D15">
        <v>178073300.83333331</v>
      </c>
      <c r="E15">
        <v>200621112.5</v>
      </c>
      <c r="F15">
        <v>5513781.0667481357</v>
      </c>
    </row>
    <row r="16" spans="1:6" x14ac:dyDescent="0.25">
      <c r="A16" t="s">
        <v>10</v>
      </c>
      <c r="B16">
        <v>3</v>
      </c>
      <c r="C16">
        <v>318960640.16666669</v>
      </c>
      <c r="D16">
        <v>294698974.16666669</v>
      </c>
      <c r="E16">
        <v>356088908.33333331</v>
      </c>
      <c r="F16">
        <v>12531090.243564541</v>
      </c>
    </row>
    <row r="17" spans="1:6" x14ac:dyDescent="0.25">
      <c r="A17" t="s">
        <v>11</v>
      </c>
      <c r="B17">
        <v>1</v>
      </c>
      <c r="C17">
        <v>34976376.958333343</v>
      </c>
      <c r="D17">
        <v>30657810</v>
      </c>
      <c r="E17">
        <v>46737940</v>
      </c>
      <c r="F17">
        <v>4190867.9939521248</v>
      </c>
    </row>
    <row r="18" spans="1:6" x14ac:dyDescent="0.25">
      <c r="A18" t="s">
        <v>11</v>
      </c>
      <c r="B18">
        <v>2</v>
      </c>
      <c r="C18">
        <v>224156538.125</v>
      </c>
      <c r="D18">
        <v>166668456.66666669</v>
      </c>
      <c r="E18">
        <v>321058066.66666669</v>
      </c>
      <c r="F18">
        <v>36055420.381211437</v>
      </c>
    </row>
    <row r="19" spans="1:6" x14ac:dyDescent="0.25">
      <c r="A19" t="s">
        <v>11</v>
      </c>
      <c r="B19">
        <v>3</v>
      </c>
      <c r="C19">
        <v>405983145.125</v>
      </c>
      <c r="D19">
        <v>264137001.66666669</v>
      </c>
      <c r="E19">
        <v>633105789.16666675</v>
      </c>
      <c r="F19">
        <v>101990299.1818293</v>
      </c>
    </row>
    <row r="20" spans="1:6" ht="15" customHeight="1" x14ac:dyDescent="0.25">
      <c r="A20" s="1" t="s">
        <v>12</v>
      </c>
      <c r="B20">
        <v>1</v>
      </c>
      <c r="C20">
        <v>34294206.208333343</v>
      </c>
      <c r="D20">
        <v>31442613.333333328</v>
      </c>
      <c r="E20">
        <v>36370741.666666657</v>
      </c>
      <c r="F20">
        <v>1641434.671261518</v>
      </c>
    </row>
    <row r="21" spans="1:6" x14ac:dyDescent="0.25">
      <c r="A21" t="s">
        <v>12</v>
      </c>
      <c r="B21">
        <v>2</v>
      </c>
      <c r="C21">
        <v>207315655.70833331</v>
      </c>
      <c r="D21">
        <v>187326406.66666669</v>
      </c>
      <c r="E21">
        <v>244584220</v>
      </c>
      <c r="F21">
        <v>14669997.310608201</v>
      </c>
    </row>
    <row r="22" spans="1:6" x14ac:dyDescent="0.25">
      <c r="A22" t="s">
        <v>12</v>
      </c>
      <c r="B22">
        <v>3</v>
      </c>
      <c r="C22">
        <v>367541954.625</v>
      </c>
      <c r="D22">
        <v>329356490.83333331</v>
      </c>
      <c r="E22">
        <v>430132726.66666669</v>
      </c>
      <c r="F22">
        <v>20506481.03036657</v>
      </c>
    </row>
    <row r="23" spans="1:6" ht="15" customHeight="1" x14ac:dyDescent="0.25">
      <c r="A23" s="1" t="s">
        <v>13</v>
      </c>
      <c r="B23">
        <v>1</v>
      </c>
      <c r="C23">
        <v>35067557.458333343</v>
      </c>
      <c r="D23">
        <v>30462364.166666672</v>
      </c>
      <c r="E23">
        <v>41602273.333333343</v>
      </c>
      <c r="F23">
        <v>3375469.0086970022</v>
      </c>
    </row>
    <row r="24" spans="1:6" x14ac:dyDescent="0.25">
      <c r="A24" t="s">
        <v>13</v>
      </c>
      <c r="B24">
        <v>2</v>
      </c>
      <c r="C24">
        <v>210330943.54166669</v>
      </c>
      <c r="D24">
        <v>145039378.33333331</v>
      </c>
      <c r="E24">
        <v>404269838.33333331</v>
      </c>
      <c r="F24">
        <v>63336387.900780194</v>
      </c>
    </row>
    <row r="25" spans="1:6" x14ac:dyDescent="0.25">
      <c r="A25" t="s">
        <v>13</v>
      </c>
      <c r="B25">
        <v>3</v>
      </c>
      <c r="C25">
        <v>358951407.125</v>
      </c>
      <c r="D25">
        <v>247568240.83333331</v>
      </c>
      <c r="E25">
        <v>640258148.33333337</v>
      </c>
      <c r="F25">
        <v>88669026.547711357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121204725.0381538</v>
      </c>
      <c r="D29">
        <v>28592606.307870369</v>
      </c>
      <c r="E29">
        <v>276779770.47685188</v>
      </c>
      <c r="F29">
        <v>70937731.813327998</v>
      </c>
    </row>
    <row r="30" spans="1:6" x14ac:dyDescent="0.25">
      <c r="A30" t="s">
        <v>7</v>
      </c>
      <c r="C30">
        <v>135779079.47222221</v>
      </c>
      <c r="D30">
        <v>29446414.166666672</v>
      </c>
      <c r="E30">
        <v>282785859.16666669</v>
      </c>
      <c r="F30">
        <v>80970733.382852644</v>
      </c>
    </row>
    <row r="31" spans="1:6" ht="15" customHeight="1" x14ac:dyDescent="0.25">
      <c r="A31" s="1" t="s">
        <v>8</v>
      </c>
      <c r="C31">
        <v>247079070.33333331</v>
      </c>
      <c r="D31">
        <v>31013573.333333328</v>
      </c>
      <c r="E31">
        <v>528916650.83333337</v>
      </c>
      <c r="F31">
        <v>208501994.30252171</v>
      </c>
    </row>
    <row r="32" spans="1:6" x14ac:dyDescent="0.25">
      <c r="A32" t="s">
        <v>9</v>
      </c>
      <c r="C32">
        <v>218755822.20833331</v>
      </c>
      <c r="D32">
        <v>30891866.666666672</v>
      </c>
      <c r="E32">
        <v>764317464.16666663</v>
      </c>
      <c r="F32">
        <v>172777103.9110963</v>
      </c>
    </row>
    <row r="33" spans="1:6" x14ac:dyDescent="0.25">
      <c r="A33" t="s">
        <v>10</v>
      </c>
      <c r="C33">
        <v>178670142.6388889</v>
      </c>
      <c r="D33">
        <v>31549060</v>
      </c>
      <c r="E33">
        <v>356088908.33333331</v>
      </c>
      <c r="F33">
        <v>117597526.34947599</v>
      </c>
    </row>
    <row r="34" spans="1:6" x14ac:dyDescent="0.25">
      <c r="A34" t="s">
        <v>11</v>
      </c>
      <c r="C34">
        <v>221705353.40277779</v>
      </c>
      <c r="D34">
        <v>30657810</v>
      </c>
      <c r="E34">
        <v>633105789.16666675</v>
      </c>
      <c r="F34">
        <v>163861324.8178255</v>
      </c>
    </row>
    <row r="35" spans="1:6" ht="15" customHeight="1" x14ac:dyDescent="0.25">
      <c r="A35" s="1" t="s">
        <v>12</v>
      </c>
      <c r="C35">
        <v>203050605.5138889</v>
      </c>
      <c r="D35">
        <v>31442613.333333328</v>
      </c>
      <c r="E35">
        <v>430132726.66666669</v>
      </c>
      <c r="F35">
        <v>136860921.84556401</v>
      </c>
    </row>
    <row r="36" spans="1:6" ht="15" customHeight="1" x14ac:dyDescent="0.25">
      <c r="A36" s="1" t="s">
        <v>13</v>
      </c>
      <c r="C36">
        <v>201449969.375</v>
      </c>
      <c r="D36">
        <v>30462364.166666672</v>
      </c>
      <c r="E36">
        <v>640258148.33333337</v>
      </c>
      <c r="F36">
        <v>146576225.5425927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30053162.099000581</v>
      </c>
      <c r="C41">
        <v>137794210.3419311</v>
      </c>
      <c r="D41">
        <v>195766802.67352951</v>
      </c>
    </row>
    <row r="42" spans="1:6" x14ac:dyDescent="0.25">
      <c r="A42" t="s">
        <v>7</v>
      </c>
      <c r="B42">
        <v>30830231.291666672</v>
      </c>
      <c r="C42">
        <v>152715257.75</v>
      </c>
      <c r="D42">
        <v>223791749.375</v>
      </c>
    </row>
    <row r="43" spans="1:6" ht="15" customHeight="1" x14ac:dyDescent="0.25">
      <c r="A43" s="1" t="s">
        <v>8</v>
      </c>
      <c r="B43">
        <v>31032581.333333328</v>
      </c>
      <c r="C43">
        <v>181313482.83333331</v>
      </c>
      <c r="D43">
        <v>528891146.83333337</v>
      </c>
    </row>
    <row r="44" spans="1:6" x14ac:dyDescent="0.25">
      <c r="A44" t="s">
        <v>9</v>
      </c>
      <c r="B44">
        <v>34610874.125</v>
      </c>
      <c r="C44">
        <v>205520126.33333331</v>
      </c>
      <c r="D44">
        <v>416136466.16666669</v>
      </c>
    </row>
    <row r="45" spans="1:6" x14ac:dyDescent="0.25">
      <c r="A45" t="s">
        <v>10</v>
      </c>
      <c r="B45">
        <v>31785258.416666672</v>
      </c>
      <c r="C45">
        <v>185264529.33333331</v>
      </c>
      <c r="D45">
        <v>318960640.16666669</v>
      </c>
    </row>
    <row r="46" spans="1:6" x14ac:dyDescent="0.25">
      <c r="A46" t="s">
        <v>11</v>
      </c>
      <c r="B46">
        <v>34976376.958333343</v>
      </c>
      <c r="C46">
        <v>224156538.125</v>
      </c>
      <c r="D46">
        <v>405983145.125</v>
      </c>
    </row>
    <row r="47" spans="1:6" ht="15" customHeight="1" x14ac:dyDescent="0.25">
      <c r="A47" s="1" t="s">
        <v>12</v>
      </c>
      <c r="B47">
        <v>34294206.208333343</v>
      </c>
      <c r="C47">
        <v>207315655.70833331</v>
      </c>
      <c r="D47">
        <v>367541954.625</v>
      </c>
    </row>
    <row r="48" spans="1:6" x14ac:dyDescent="0.25">
      <c r="A48" t="s">
        <v>13</v>
      </c>
      <c r="B48">
        <v>35067557.458333343</v>
      </c>
      <c r="C48">
        <v>210330943.54166669</v>
      </c>
      <c r="D48">
        <v>358951407.125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29209517.442129631</v>
      </c>
      <c r="C53">
        <v>30391576.076388892</v>
      </c>
      <c r="D53">
        <v>30500185.428240739</v>
      </c>
      <c r="E53">
        <v>29954400.44270834</v>
      </c>
      <c r="F53">
        <v>29365594.989872679</v>
      </c>
      <c r="G53">
        <v>30461001.574074071</v>
      </c>
      <c r="H53">
        <v>28728231.331018511</v>
      </c>
      <c r="I53">
        <v>30179310.409432869</v>
      </c>
      <c r="J53">
        <v>30282760.98668981</v>
      </c>
      <c r="K53">
        <v>29416529.363425929</v>
      </c>
      <c r="L53">
        <v>30427875.502025459</v>
      </c>
      <c r="M53">
        <v>31176105.717592601</v>
      </c>
      <c r="N53">
        <v>28592606.307870369</v>
      </c>
      <c r="O53">
        <v>30553935.266203701</v>
      </c>
      <c r="P53">
        <v>30302435.324074078</v>
      </c>
      <c r="Q53">
        <v>30138944.372349542</v>
      </c>
      <c r="R53">
        <v>30218524.233865742</v>
      </c>
      <c r="S53">
        <v>29895312.68084491</v>
      </c>
      <c r="T53">
        <v>30430860.891203709</v>
      </c>
      <c r="U53">
        <v>30837533.640000001</v>
      </c>
      <c r="V53">
        <v>150394422.46362269</v>
      </c>
      <c r="W53">
        <v>129196350.8627315</v>
      </c>
      <c r="X53">
        <v>150390878.31601849</v>
      </c>
      <c r="Y53">
        <v>132807703.2225</v>
      </c>
      <c r="Z53">
        <v>134359552.54966429</v>
      </c>
      <c r="AA53">
        <v>149295039.3075926</v>
      </c>
      <c r="AB53">
        <v>136923141.366956</v>
      </c>
      <c r="AC53">
        <v>130232966.7093634</v>
      </c>
      <c r="AD53">
        <v>148603312.11962971</v>
      </c>
      <c r="AE53">
        <v>134530437.19185191</v>
      </c>
      <c r="AF53">
        <v>132592917.0465741</v>
      </c>
      <c r="AG53">
        <v>134144008.8244444</v>
      </c>
      <c r="AH53">
        <v>129159308.7121643</v>
      </c>
      <c r="AI53">
        <v>144933285.39657411</v>
      </c>
      <c r="AJ53">
        <v>134369649.1310648</v>
      </c>
      <c r="AK53">
        <v>133280931.9638889</v>
      </c>
      <c r="AL53">
        <v>133064017.522037</v>
      </c>
      <c r="AM53">
        <v>130175799.0082407</v>
      </c>
      <c r="AN53">
        <v>151795176.30490741</v>
      </c>
      <c r="AO53">
        <v>135635308.81879631</v>
      </c>
      <c r="AP53">
        <v>187983903.47611111</v>
      </c>
      <c r="AQ53">
        <v>163377617.25629631</v>
      </c>
      <c r="AR53">
        <v>242728756.29175919</v>
      </c>
      <c r="AS53">
        <v>234704006.73166671</v>
      </c>
      <c r="AT53">
        <v>183868449.8587037</v>
      </c>
      <c r="AU53">
        <v>203487553.64995369</v>
      </c>
      <c r="AV53">
        <v>223102742.83129629</v>
      </c>
      <c r="AW53">
        <v>208609659.630463</v>
      </c>
      <c r="AX53">
        <v>180863800.87277779</v>
      </c>
      <c r="AY53">
        <v>175020815.5203588</v>
      </c>
      <c r="AZ53">
        <v>164359562.94993049</v>
      </c>
      <c r="BA53">
        <v>173979664.92472231</v>
      </c>
      <c r="BB53">
        <v>184265994.5371412</v>
      </c>
      <c r="BC53">
        <v>182567002.9123843</v>
      </c>
      <c r="BD53">
        <v>170979325.88157409</v>
      </c>
      <c r="BE53">
        <v>175129028.81185189</v>
      </c>
      <c r="BF53">
        <v>276779770.47685188</v>
      </c>
      <c r="BG53">
        <v>229633218.94790509</v>
      </c>
      <c r="BH53">
        <v>178757586.37082171</v>
      </c>
      <c r="BI53">
        <v>175137591.53802079</v>
      </c>
    </row>
    <row r="54" spans="1:61" x14ac:dyDescent="0.25">
      <c r="A54" t="s">
        <v>7</v>
      </c>
      <c r="B54">
        <v>31200435.833333328</v>
      </c>
      <c r="C54">
        <v>30844421.666666672</v>
      </c>
      <c r="D54">
        <v>30776153.333333328</v>
      </c>
      <c r="E54">
        <v>30207953.333333328</v>
      </c>
      <c r="F54">
        <v>31028906.666666672</v>
      </c>
      <c r="G54">
        <v>30810605</v>
      </c>
      <c r="H54">
        <v>31708582.5</v>
      </c>
      <c r="I54">
        <v>32203061.666666672</v>
      </c>
      <c r="J54">
        <v>29537455.833333328</v>
      </c>
      <c r="K54">
        <v>30517499.166666672</v>
      </c>
      <c r="L54">
        <v>31128505</v>
      </c>
      <c r="M54">
        <v>30553673.33333334</v>
      </c>
      <c r="N54">
        <v>29446414.166666672</v>
      </c>
      <c r="O54">
        <v>30558586.666666672</v>
      </c>
      <c r="P54">
        <v>30997873.333333328</v>
      </c>
      <c r="Q54">
        <v>30316503.333333328</v>
      </c>
      <c r="R54">
        <v>30584573.333333328</v>
      </c>
      <c r="S54">
        <v>30966031.666666672</v>
      </c>
      <c r="T54">
        <v>32657686.666666672</v>
      </c>
      <c r="U54">
        <v>30559703.333333328</v>
      </c>
      <c r="V54">
        <v>149195971.66666669</v>
      </c>
      <c r="W54">
        <v>145354562.5</v>
      </c>
      <c r="X54">
        <v>150295749.16666669</v>
      </c>
      <c r="Y54">
        <v>165838230</v>
      </c>
      <c r="Z54">
        <v>149543619.16666669</v>
      </c>
      <c r="AA54">
        <v>146746093.33333331</v>
      </c>
      <c r="AB54">
        <v>151313830.83333331</v>
      </c>
      <c r="AC54">
        <v>151596258.33333331</v>
      </c>
      <c r="AD54">
        <v>149807056.66666669</v>
      </c>
      <c r="AE54">
        <v>164067313.33333331</v>
      </c>
      <c r="AF54">
        <v>150551521.66666669</v>
      </c>
      <c r="AG54">
        <v>165977232.5</v>
      </c>
      <c r="AH54">
        <v>144790462.5</v>
      </c>
      <c r="AI54">
        <v>149594868.33333331</v>
      </c>
      <c r="AJ54">
        <v>149186493.33333331</v>
      </c>
      <c r="AK54">
        <v>149836198.33333331</v>
      </c>
      <c r="AL54">
        <v>152130808.33333331</v>
      </c>
      <c r="AM54">
        <v>150653710.83333331</v>
      </c>
      <c r="AN54">
        <v>167586667.5</v>
      </c>
      <c r="AO54">
        <v>150238506.66666669</v>
      </c>
      <c r="AP54">
        <v>206239773.33333331</v>
      </c>
      <c r="AQ54">
        <v>211850300</v>
      </c>
      <c r="AR54">
        <v>220179374.16666669</v>
      </c>
      <c r="AS54">
        <v>192477869.16666669</v>
      </c>
      <c r="AT54">
        <v>203411028.33333331</v>
      </c>
      <c r="AU54">
        <v>221479748.33333331</v>
      </c>
      <c r="AV54">
        <v>214662160</v>
      </c>
      <c r="AW54">
        <v>209673846.66666669</v>
      </c>
      <c r="AX54">
        <v>205331099.16666669</v>
      </c>
      <c r="AY54">
        <v>257548062.5</v>
      </c>
      <c r="AZ54">
        <v>224100428.33333331</v>
      </c>
      <c r="BA54">
        <v>254617989.16666669</v>
      </c>
      <c r="BB54">
        <v>201295977.5</v>
      </c>
      <c r="BC54">
        <v>269570210</v>
      </c>
      <c r="BD54">
        <v>232149348.33333331</v>
      </c>
      <c r="BE54">
        <v>282785859.16666669</v>
      </c>
      <c r="BF54">
        <v>220468547.5</v>
      </c>
      <c r="BG54">
        <v>211360240</v>
      </c>
      <c r="BH54">
        <v>202101793.33333331</v>
      </c>
      <c r="BI54">
        <v>234531332.5</v>
      </c>
    </row>
    <row r="55" spans="1:61" x14ac:dyDescent="0.25">
      <c r="A55" t="s">
        <v>8</v>
      </c>
      <c r="B55">
        <v>31025733.333333328</v>
      </c>
      <c r="C55">
        <v>31035973.333333328</v>
      </c>
      <c r="D55">
        <v>31035973.333333328</v>
      </c>
      <c r="E55">
        <v>31036613.333333328</v>
      </c>
      <c r="F55">
        <v>31035333.333333328</v>
      </c>
      <c r="G55">
        <v>31027653.333333328</v>
      </c>
      <c r="H55">
        <v>31016773.333333328</v>
      </c>
      <c r="I55">
        <v>31041733.333333328</v>
      </c>
      <c r="J55">
        <v>31056453.333333328</v>
      </c>
      <c r="K55">
        <v>31033413.333333328</v>
      </c>
      <c r="L55">
        <v>31034053.333333328</v>
      </c>
      <c r="M55">
        <v>31025733.333333328</v>
      </c>
      <c r="N55">
        <v>31028933.333333328</v>
      </c>
      <c r="O55">
        <v>31039173.333333328</v>
      </c>
      <c r="P55">
        <v>31013573.333333328</v>
      </c>
      <c r="Q55">
        <v>31032133.333333328</v>
      </c>
      <c r="R55">
        <v>31041093.333333328</v>
      </c>
      <c r="S55">
        <v>31027653.333333328</v>
      </c>
      <c r="T55">
        <v>31018053.333333328</v>
      </c>
      <c r="U55">
        <v>31045573.333333328</v>
      </c>
      <c r="V55">
        <v>181316330.83333331</v>
      </c>
      <c r="W55">
        <v>181321450.83333331</v>
      </c>
      <c r="X55">
        <v>181318250.83333331</v>
      </c>
      <c r="Y55">
        <v>181331050.83333331</v>
      </c>
      <c r="Z55">
        <v>181319530.83333331</v>
      </c>
      <c r="AA55">
        <v>181307370.83333331</v>
      </c>
      <c r="AB55">
        <v>181300970.83333331</v>
      </c>
      <c r="AC55">
        <v>181300330.83333331</v>
      </c>
      <c r="AD55">
        <v>181322090.83333331</v>
      </c>
      <c r="AE55">
        <v>181339370.83333331</v>
      </c>
      <c r="AF55">
        <v>181318250.83333331</v>
      </c>
      <c r="AG55">
        <v>181326570.83333331</v>
      </c>
      <c r="AH55">
        <v>181322730.83333331</v>
      </c>
      <c r="AI55">
        <v>181308650.83333331</v>
      </c>
      <c r="AJ55">
        <v>181295210.83333331</v>
      </c>
      <c r="AK55">
        <v>181292650.83333331</v>
      </c>
      <c r="AL55">
        <v>181285610.83333331</v>
      </c>
      <c r="AM55">
        <v>181313770.83333331</v>
      </c>
      <c r="AN55">
        <v>181330410.83333331</v>
      </c>
      <c r="AO55">
        <v>181299050.83333331</v>
      </c>
      <c r="AP55">
        <v>528903850.83333337</v>
      </c>
      <c r="AQ55">
        <v>528903850.83333337</v>
      </c>
      <c r="AR55">
        <v>528883370.83333337</v>
      </c>
      <c r="AS55">
        <v>528880170.83333337</v>
      </c>
      <c r="AT55">
        <v>528891690.83333337</v>
      </c>
      <c r="AU55">
        <v>528916650.83333337</v>
      </c>
      <c r="AV55">
        <v>528902570.83333337</v>
      </c>
      <c r="AW55">
        <v>528901930.83333337</v>
      </c>
      <c r="AX55">
        <v>528873130.83333337</v>
      </c>
      <c r="AY55">
        <v>528888490.83333337</v>
      </c>
      <c r="AZ55">
        <v>528872490.83333337</v>
      </c>
      <c r="BA55">
        <v>528882730.83333337</v>
      </c>
      <c r="BB55">
        <v>528900010.83333337</v>
      </c>
      <c r="BC55">
        <v>528884650.83333337</v>
      </c>
      <c r="BD55">
        <v>528871850.83333337</v>
      </c>
      <c r="BE55">
        <v>528883370.83333337</v>
      </c>
      <c r="BF55">
        <v>528889770.83333337</v>
      </c>
      <c r="BG55">
        <v>528916010.83333337</v>
      </c>
      <c r="BH55">
        <v>528911530.83333337</v>
      </c>
      <c r="BI55">
        <v>528864810.83333337</v>
      </c>
    </row>
    <row r="56" spans="1:61" x14ac:dyDescent="0.25">
      <c r="A56" t="s">
        <v>9</v>
      </c>
      <c r="B56">
        <v>31014753.333333328</v>
      </c>
      <c r="C56">
        <v>36038220</v>
      </c>
      <c r="D56">
        <v>35645645</v>
      </c>
      <c r="E56">
        <v>30891866.666666672</v>
      </c>
      <c r="F56">
        <v>41997700</v>
      </c>
      <c r="G56">
        <v>31684820</v>
      </c>
      <c r="H56">
        <v>31204592.5</v>
      </c>
      <c r="I56">
        <v>31295126.666666672</v>
      </c>
      <c r="J56">
        <v>35236847.5</v>
      </c>
      <c r="K56">
        <v>34217600</v>
      </c>
      <c r="L56">
        <v>40209186.666666657</v>
      </c>
      <c r="M56">
        <v>36004735.833333343</v>
      </c>
      <c r="N56">
        <v>31493290.83333334</v>
      </c>
      <c r="O56">
        <v>37260533.333333343</v>
      </c>
      <c r="P56">
        <v>31858765</v>
      </c>
      <c r="Q56">
        <v>34990524.166666657</v>
      </c>
      <c r="R56">
        <v>35505594.166666657</v>
      </c>
      <c r="S56">
        <v>35279561.666666657</v>
      </c>
      <c r="T56">
        <v>35167899.166666657</v>
      </c>
      <c r="U56">
        <v>35220220</v>
      </c>
      <c r="V56">
        <v>216410372.5</v>
      </c>
      <c r="W56">
        <v>204243160</v>
      </c>
      <c r="X56">
        <v>154162567.5</v>
      </c>
      <c r="Y56">
        <v>285142600</v>
      </c>
      <c r="Z56">
        <v>185934009.16666669</v>
      </c>
      <c r="AA56">
        <v>170250553.33333331</v>
      </c>
      <c r="AB56">
        <v>192869314.16666669</v>
      </c>
      <c r="AC56">
        <v>216951188.33333331</v>
      </c>
      <c r="AD56">
        <v>249336293.33333331</v>
      </c>
      <c r="AE56">
        <v>192813688.33333331</v>
      </c>
      <c r="AF56">
        <v>164927529.16666669</v>
      </c>
      <c r="AG56">
        <v>283522893.33333331</v>
      </c>
      <c r="AH56">
        <v>192747205</v>
      </c>
      <c r="AI56">
        <v>168118953.33333331</v>
      </c>
      <c r="AJ56">
        <v>240335686.66666669</v>
      </c>
      <c r="AK56">
        <v>164357080</v>
      </c>
      <c r="AL56">
        <v>180110202.5</v>
      </c>
      <c r="AM56">
        <v>180929745</v>
      </c>
      <c r="AN56">
        <v>209227320</v>
      </c>
      <c r="AO56">
        <v>258012165</v>
      </c>
      <c r="AP56">
        <v>583278109.16666663</v>
      </c>
      <c r="AQ56">
        <v>244480476.66666669</v>
      </c>
      <c r="AR56">
        <v>350909037.5</v>
      </c>
      <c r="AS56">
        <v>332792760.83333331</v>
      </c>
      <c r="AT56">
        <v>377600311.66666669</v>
      </c>
      <c r="AU56">
        <v>329249968.33333331</v>
      </c>
      <c r="AV56">
        <v>448802893.33333331</v>
      </c>
      <c r="AW56">
        <v>267800653.33333331</v>
      </c>
      <c r="AX56">
        <v>764317464.16666663</v>
      </c>
      <c r="AY56">
        <v>303582899.16666669</v>
      </c>
      <c r="AZ56">
        <v>373950260</v>
      </c>
      <c r="BA56">
        <v>392694209.16666669</v>
      </c>
      <c r="BB56">
        <v>498268320</v>
      </c>
      <c r="BC56">
        <v>474956268.33333331</v>
      </c>
      <c r="BD56">
        <v>357879965</v>
      </c>
      <c r="BE56">
        <v>426211497.5</v>
      </c>
      <c r="BF56">
        <v>469940575</v>
      </c>
      <c r="BG56">
        <v>460592825</v>
      </c>
      <c r="BH56">
        <v>582197018.33333337</v>
      </c>
      <c r="BI56">
        <v>283223810.83333331</v>
      </c>
    </row>
    <row r="57" spans="1:61" x14ac:dyDescent="0.25">
      <c r="A57" t="s">
        <v>10</v>
      </c>
      <c r="B57">
        <v>31788407.5</v>
      </c>
      <c r="C57">
        <v>31732180</v>
      </c>
      <c r="D57">
        <v>31800412.5</v>
      </c>
      <c r="E57">
        <v>31968500</v>
      </c>
      <c r="F57">
        <v>31634753.33333334</v>
      </c>
      <c r="G57">
        <v>32034920</v>
      </c>
      <c r="H57">
        <v>31777333.333333328</v>
      </c>
      <c r="I57">
        <v>31801013.33333334</v>
      </c>
      <c r="J57">
        <v>31798020</v>
      </c>
      <c r="K57">
        <v>31716386.666666672</v>
      </c>
      <c r="L57">
        <v>31672233.333333328</v>
      </c>
      <c r="M57">
        <v>31689685</v>
      </c>
      <c r="N57">
        <v>31742940</v>
      </c>
      <c r="O57">
        <v>31730610.83333334</v>
      </c>
      <c r="P57">
        <v>31837353.33333334</v>
      </c>
      <c r="Q57">
        <v>32278740</v>
      </c>
      <c r="R57">
        <v>31603146.666666672</v>
      </c>
      <c r="S57">
        <v>31549060</v>
      </c>
      <c r="T57">
        <v>31660104.166666672</v>
      </c>
      <c r="U57">
        <v>31889368.333333328</v>
      </c>
      <c r="V57">
        <v>189994965</v>
      </c>
      <c r="W57">
        <v>181426290</v>
      </c>
      <c r="X57">
        <v>180459475</v>
      </c>
      <c r="Y57">
        <v>182868256.66666669</v>
      </c>
      <c r="Z57">
        <v>181138776.66666669</v>
      </c>
      <c r="AA57">
        <v>183799913.33333331</v>
      </c>
      <c r="AB57">
        <v>178878065</v>
      </c>
      <c r="AC57">
        <v>200621112.5</v>
      </c>
      <c r="AD57">
        <v>187121573.33333331</v>
      </c>
      <c r="AE57">
        <v>191409990.83333331</v>
      </c>
      <c r="AF57">
        <v>189737390</v>
      </c>
      <c r="AG57">
        <v>178073300.83333331</v>
      </c>
      <c r="AH57">
        <v>182623366.66666669</v>
      </c>
      <c r="AI57">
        <v>190293683.33333331</v>
      </c>
      <c r="AJ57">
        <v>185726483.33333331</v>
      </c>
      <c r="AK57">
        <v>188131449.16666669</v>
      </c>
      <c r="AL57">
        <v>181678855.83333331</v>
      </c>
      <c r="AM57">
        <v>180822756.66666669</v>
      </c>
      <c r="AN57">
        <v>190723940</v>
      </c>
      <c r="AO57">
        <v>179760942.5</v>
      </c>
      <c r="AP57">
        <v>321054131.66666669</v>
      </c>
      <c r="AQ57">
        <v>356088908.33333331</v>
      </c>
      <c r="AR57">
        <v>321679204.16666669</v>
      </c>
      <c r="AS57">
        <v>329424382.5</v>
      </c>
      <c r="AT57">
        <v>321206222.5</v>
      </c>
      <c r="AU57">
        <v>322195179.16666669</v>
      </c>
      <c r="AV57">
        <v>313654696.66666669</v>
      </c>
      <c r="AW57">
        <v>303595665.83333331</v>
      </c>
      <c r="AX57">
        <v>301963106.66666669</v>
      </c>
      <c r="AY57">
        <v>310637834.16666669</v>
      </c>
      <c r="AZ57">
        <v>315406734.16666669</v>
      </c>
      <c r="BA57">
        <v>329785473.33333331</v>
      </c>
      <c r="BB57">
        <v>317583174.16666663</v>
      </c>
      <c r="BC57">
        <v>294698974.16666669</v>
      </c>
      <c r="BD57">
        <v>310907450</v>
      </c>
      <c r="BE57">
        <v>316001068.33333331</v>
      </c>
      <c r="BF57">
        <v>315058083.33333331</v>
      </c>
      <c r="BG57">
        <v>328409463.33333331</v>
      </c>
      <c r="BH57">
        <v>320862855</v>
      </c>
      <c r="BI57">
        <v>329000195.83333331</v>
      </c>
    </row>
    <row r="58" spans="1:61" x14ac:dyDescent="0.25">
      <c r="A58" t="s">
        <v>11</v>
      </c>
      <c r="B58">
        <v>37650646.666666657</v>
      </c>
      <c r="C58">
        <v>31116446.666666672</v>
      </c>
      <c r="D58">
        <v>40327713.333333343</v>
      </c>
      <c r="E58">
        <v>31106620.833333328</v>
      </c>
      <c r="F58">
        <v>36202837.5</v>
      </c>
      <c r="G58">
        <v>37446812.5</v>
      </c>
      <c r="H58">
        <v>36751870</v>
      </c>
      <c r="I58">
        <v>30727061.666666672</v>
      </c>
      <c r="J58">
        <v>40662467.5</v>
      </c>
      <c r="K58">
        <v>46737940</v>
      </c>
      <c r="L58">
        <v>31513827.5</v>
      </c>
      <c r="M58">
        <v>30657810</v>
      </c>
      <c r="N58">
        <v>31108240</v>
      </c>
      <c r="O58">
        <v>35934180</v>
      </c>
      <c r="P58">
        <v>31572193.333333328</v>
      </c>
      <c r="Q58">
        <v>35958747.5</v>
      </c>
      <c r="R58">
        <v>31456817.5</v>
      </c>
      <c r="S58">
        <v>36100993.333333343</v>
      </c>
      <c r="T58">
        <v>31321349.166666672</v>
      </c>
      <c r="U58">
        <v>35172964.166666657</v>
      </c>
      <c r="V58">
        <v>249487335.83333331</v>
      </c>
      <c r="W58">
        <v>198094980</v>
      </c>
      <c r="X58">
        <v>254229806.66666669</v>
      </c>
      <c r="Y58">
        <v>227115888.33333331</v>
      </c>
      <c r="Z58">
        <v>166668456.66666669</v>
      </c>
      <c r="AA58">
        <v>212197326.66666669</v>
      </c>
      <c r="AB58">
        <v>197087296.66666669</v>
      </c>
      <c r="AC58">
        <v>284746840</v>
      </c>
      <c r="AD58">
        <v>219504457.5</v>
      </c>
      <c r="AE58">
        <v>321058066.66666669</v>
      </c>
      <c r="AF58">
        <v>238642833.33333331</v>
      </c>
      <c r="AG58">
        <v>227783267.5</v>
      </c>
      <c r="AH58">
        <v>173495553.33333331</v>
      </c>
      <c r="AI58">
        <v>201492395.83333331</v>
      </c>
      <c r="AJ58">
        <v>228936384.16666669</v>
      </c>
      <c r="AK58">
        <v>239375848.33333331</v>
      </c>
      <c r="AL58">
        <v>219651320.83333331</v>
      </c>
      <c r="AM58">
        <v>245377330.83333331</v>
      </c>
      <c r="AN58">
        <v>186333229.16666669</v>
      </c>
      <c r="AO58">
        <v>191852144.16666669</v>
      </c>
      <c r="AP58">
        <v>357723658.33333331</v>
      </c>
      <c r="AQ58">
        <v>388528540.83333337</v>
      </c>
      <c r="AR58">
        <v>446034660</v>
      </c>
      <c r="AS58">
        <v>427805649.16666663</v>
      </c>
      <c r="AT58">
        <v>300499527.5</v>
      </c>
      <c r="AU58">
        <v>496202870.83333331</v>
      </c>
      <c r="AV58">
        <v>332379765</v>
      </c>
      <c r="AW58">
        <v>289309039.16666669</v>
      </c>
      <c r="AX58">
        <v>318665339.16666669</v>
      </c>
      <c r="AY58">
        <v>441665739.16666663</v>
      </c>
      <c r="AZ58">
        <v>633105789.16666675</v>
      </c>
      <c r="BA58">
        <v>285920511.66666669</v>
      </c>
      <c r="BB58">
        <v>440024262.5</v>
      </c>
      <c r="BC58">
        <v>611481475.83333337</v>
      </c>
      <c r="BD58">
        <v>455751900.83333331</v>
      </c>
      <c r="BE58">
        <v>422105555.83333331</v>
      </c>
      <c r="BF58">
        <v>330635230.83333331</v>
      </c>
      <c r="BG58">
        <v>349261007.5</v>
      </c>
      <c r="BH58">
        <v>528425377.5</v>
      </c>
      <c r="BI58">
        <v>264137001.66666669</v>
      </c>
    </row>
    <row r="59" spans="1:61" ht="15" customHeight="1" x14ac:dyDescent="0.25">
      <c r="A59" s="1" t="s">
        <v>12</v>
      </c>
      <c r="B59">
        <v>34381793.333333343</v>
      </c>
      <c r="C59">
        <v>31442613.333333328</v>
      </c>
      <c r="D59">
        <v>35279080</v>
      </c>
      <c r="E59">
        <v>31712966.666666672</v>
      </c>
      <c r="F59">
        <v>34210786.666666657</v>
      </c>
      <c r="G59">
        <v>34538213.333333343</v>
      </c>
      <c r="H59">
        <v>34886726.666666657</v>
      </c>
      <c r="I59">
        <v>35034173.333333343</v>
      </c>
      <c r="J59">
        <v>36240294.166666657</v>
      </c>
      <c r="K59">
        <v>32207080</v>
      </c>
      <c r="L59">
        <v>34006660</v>
      </c>
      <c r="M59">
        <v>33817307.5</v>
      </c>
      <c r="N59">
        <v>31575997.5</v>
      </c>
      <c r="O59">
        <v>34862020</v>
      </c>
      <c r="P59">
        <v>36267700</v>
      </c>
      <c r="Q59">
        <v>35507741.666666657</v>
      </c>
      <c r="R59">
        <v>35451090.833333343</v>
      </c>
      <c r="S59">
        <v>31827113.333333328</v>
      </c>
      <c r="T59">
        <v>36370741.666666657</v>
      </c>
      <c r="U59">
        <v>36264024.166666657</v>
      </c>
      <c r="V59">
        <v>200342426.66666669</v>
      </c>
      <c r="W59">
        <v>199550631.66666669</v>
      </c>
      <c r="X59">
        <v>205254493.33333331</v>
      </c>
      <c r="Y59">
        <v>204864526.66666669</v>
      </c>
      <c r="Z59">
        <v>201493150.83333331</v>
      </c>
      <c r="AA59">
        <v>216476162.5</v>
      </c>
      <c r="AB59">
        <v>192431151.66666669</v>
      </c>
      <c r="AC59">
        <v>244584220</v>
      </c>
      <c r="AD59">
        <v>187326406.66666669</v>
      </c>
      <c r="AE59">
        <v>196400946.66666669</v>
      </c>
      <c r="AF59">
        <v>199697558.33333331</v>
      </c>
      <c r="AG59">
        <v>194889640</v>
      </c>
      <c r="AH59">
        <v>207817637.5</v>
      </c>
      <c r="AI59">
        <v>212354498.33333331</v>
      </c>
      <c r="AJ59">
        <v>190077170.83333331</v>
      </c>
      <c r="AK59">
        <v>216508646.66666669</v>
      </c>
      <c r="AL59">
        <v>239491262.5</v>
      </c>
      <c r="AM59">
        <v>204387541.66666669</v>
      </c>
      <c r="AN59">
        <v>208529385</v>
      </c>
      <c r="AO59">
        <v>223835656.66666669</v>
      </c>
      <c r="AP59">
        <v>329356490.83333331</v>
      </c>
      <c r="AQ59">
        <v>356015371.66666669</v>
      </c>
      <c r="AR59">
        <v>385641253.33333337</v>
      </c>
      <c r="AS59">
        <v>352744260</v>
      </c>
      <c r="AT59">
        <v>351671222.5</v>
      </c>
      <c r="AU59">
        <v>365495955</v>
      </c>
      <c r="AV59">
        <v>351995686.66666669</v>
      </c>
      <c r="AW59">
        <v>359290314.16666669</v>
      </c>
      <c r="AX59">
        <v>376714033.33333331</v>
      </c>
      <c r="AY59">
        <v>359970897.5</v>
      </c>
      <c r="AZ59">
        <v>353384415</v>
      </c>
      <c r="BA59">
        <v>363281738.33333331</v>
      </c>
      <c r="BB59">
        <v>387876382.5</v>
      </c>
      <c r="BC59">
        <v>358961600</v>
      </c>
      <c r="BD59">
        <v>373457770.83333337</v>
      </c>
      <c r="BE59">
        <v>430132726.66666669</v>
      </c>
      <c r="BF59">
        <v>355220851.66666663</v>
      </c>
      <c r="BG59">
        <v>391292473.33333331</v>
      </c>
      <c r="BH59">
        <v>366974860</v>
      </c>
      <c r="BI59">
        <v>381360789.16666663</v>
      </c>
    </row>
    <row r="60" spans="1:61" x14ac:dyDescent="0.25">
      <c r="A60" t="s">
        <v>13</v>
      </c>
      <c r="B60">
        <v>40868250</v>
      </c>
      <c r="C60">
        <v>35214879.166666657</v>
      </c>
      <c r="D60">
        <v>31531729.166666672</v>
      </c>
      <c r="E60">
        <v>37627733.333333343</v>
      </c>
      <c r="F60">
        <v>31540673.333333328</v>
      </c>
      <c r="G60">
        <v>30651806.666666672</v>
      </c>
      <c r="H60">
        <v>34556102.5</v>
      </c>
      <c r="I60">
        <v>36282466.666666657</v>
      </c>
      <c r="J60">
        <v>31868970.833333328</v>
      </c>
      <c r="K60">
        <v>41602273.333333343</v>
      </c>
      <c r="L60">
        <v>31218253.333333328</v>
      </c>
      <c r="M60">
        <v>40599229.166666657</v>
      </c>
      <c r="N60">
        <v>35629009.166666657</v>
      </c>
      <c r="O60">
        <v>30462364.166666672</v>
      </c>
      <c r="P60">
        <v>31535326.666666672</v>
      </c>
      <c r="Q60">
        <v>36242800</v>
      </c>
      <c r="R60">
        <v>36095208.333333343</v>
      </c>
      <c r="S60">
        <v>34360513.333333343</v>
      </c>
      <c r="T60">
        <v>37300993.333333343</v>
      </c>
      <c r="U60">
        <v>36162566.666666657</v>
      </c>
      <c r="V60">
        <v>235441413.33333331</v>
      </c>
      <c r="W60">
        <v>169718715</v>
      </c>
      <c r="X60">
        <v>239040955.83333331</v>
      </c>
      <c r="Y60">
        <v>228448899.16666669</v>
      </c>
      <c r="Z60">
        <v>262458678.33333331</v>
      </c>
      <c r="AA60">
        <v>404269838.33333331</v>
      </c>
      <c r="AB60">
        <v>221804511.66666669</v>
      </c>
      <c r="AC60">
        <v>263887579.16666669</v>
      </c>
      <c r="AD60">
        <v>157180073.33333331</v>
      </c>
      <c r="AE60">
        <v>320933788.33333331</v>
      </c>
      <c r="AF60">
        <v>162574093.33333331</v>
      </c>
      <c r="AG60">
        <v>197328843.33333331</v>
      </c>
      <c r="AH60">
        <v>165536018.33333331</v>
      </c>
      <c r="AI60">
        <v>145039378.33333331</v>
      </c>
      <c r="AJ60">
        <v>165437333.33333331</v>
      </c>
      <c r="AK60">
        <v>150589213.33333331</v>
      </c>
      <c r="AL60">
        <v>175922887.5</v>
      </c>
      <c r="AM60">
        <v>188271665</v>
      </c>
      <c r="AN60">
        <v>168349480.83333331</v>
      </c>
      <c r="AO60">
        <v>184385505</v>
      </c>
      <c r="AP60">
        <v>363614374.16666669</v>
      </c>
      <c r="AQ60">
        <v>357869883.33333331</v>
      </c>
      <c r="AR60">
        <v>485918792.5</v>
      </c>
      <c r="AS60">
        <v>371945714.16666669</v>
      </c>
      <c r="AT60">
        <v>455880157.5</v>
      </c>
      <c r="AU60">
        <v>356959426.66666669</v>
      </c>
      <c r="AV60">
        <v>443917525.83333331</v>
      </c>
      <c r="AW60">
        <v>313555349.16666663</v>
      </c>
      <c r="AX60">
        <v>316570310</v>
      </c>
      <c r="AY60">
        <v>322046600.83333331</v>
      </c>
      <c r="AZ60">
        <v>313048090</v>
      </c>
      <c r="BA60">
        <v>328808999.16666669</v>
      </c>
      <c r="BB60">
        <v>248215513.33333331</v>
      </c>
      <c r="BC60">
        <v>282456069.16666669</v>
      </c>
      <c r="BD60">
        <v>640258148.33333337</v>
      </c>
      <c r="BE60">
        <v>327496599.16666669</v>
      </c>
      <c r="BF60">
        <v>372537277.5</v>
      </c>
      <c r="BG60">
        <v>341817178.33333331</v>
      </c>
      <c r="BH60">
        <v>288543892.5</v>
      </c>
      <c r="BI60">
        <v>247568240.83333331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60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2" width="10" customWidth="1"/>
    <col min="3" max="3" width="20" customWidth="1"/>
    <col min="4" max="4" width="11" customWidth="1"/>
    <col min="5" max="5" width="9" customWidth="1"/>
    <col min="6" max="6" width="20" customWidth="1"/>
    <col min="7" max="21" width="7" customWidth="1"/>
    <col min="22" max="49" width="8" customWidth="1"/>
    <col min="50" max="50" width="9" customWidth="1"/>
    <col min="51" max="61" width="8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43607.6</v>
      </c>
      <c r="D2">
        <v>41537</v>
      </c>
      <c r="E2">
        <v>45524</v>
      </c>
      <c r="F2">
        <v>1204.9166112225359</v>
      </c>
    </row>
    <row r="3" spans="1:6" x14ac:dyDescent="0.25">
      <c r="A3" t="s">
        <v>6</v>
      </c>
      <c r="B3">
        <v>2</v>
      </c>
      <c r="C3">
        <v>218342.1</v>
      </c>
      <c r="D3">
        <v>202596</v>
      </c>
      <c r="E3">
        <v>243286</v>
      </c>
      <c r="F3">
        <v>15602.33292780282</v>
      </c>
    </row>
    <row r="4" spans="1:6" x14ac:dyDescent="0.25">
      <c r="A4" t="s">
        <v>6</v>
      </c>
      <c r="B4">
        <v>3</v>
      </c>
      <c r="C4">
        <v>315939.34999999998</v>
      </c>
      <c r="D4">
        <v>263869</v>
      </c>
      <c r="E4">
        <v>459012</v>
      </c>
      <c r="F4">
        <v>52542.998363507009</v>
      </c>
    </row>
    <row r="5" spans="1:6" x14ac:dyDescent="0.25">
      <c r="A5" t="s">
        <v>7</v>
      </c>
      <c r="B5">
        <v>1</v>
      </c>
      <c r="C5">
        <v>43664.6</v>
      </c>
      <c r="D5">
        <v>41907</v>
      </c>
      <c r="E5">
        <v>46388</v>
      </c>
      <c r="F5">
        <v>1127.5542736383029</v>
      </c>
    </row>
    <row r="6" spans="1:6" x14ac:dyDescent="0.25">
      <c r="A6" t="s">
        <v>7</v>
      </c>
      <c r="B6">
        <v>2</v>
      </c>
      <c r="C6">
        <v>215911.65</v>
      </c>
      <c r="D6">
        <v>202890</v>
      </c>
      <c r="E6">
        <v>243001</v>
      </c>
      <c r="F6">
        <v>12281.90152734909</v>
      </c>
    </row>
    <row r="7" spans="1:6" x14ac:dyDescent="0.25">
      <c r="A7" t="s">
        <v>7</v>
      </c>
      <c r="B7">
        <v>3</v>
      </c>
      <c r="C7">
        <v>309042.59999999998</v>
      </c>
      <c r="D7">
        <v>263414</v>
      </c>
      <c r="E7">
        <v>402738</v>
      </c>
      <c r="F7">
        <v>37157.64716367278</v>
      </c>
    </row>
    <row r="8" spans="1:6" x14ac:dyDescent="0.25">
      <c r="A8" t="s">
        <v>8</v>
      </c>
      <c r="B8">
        <v>1</v>
      </c>
      <c r="C8">
        <v>43653.7</v>
      </c>
      <c r="D8">
        <v>43624</v>
      </c>
      <c r="E8">
        <v>43691</v>
      </c>
      <c r="F8">
        <v>15.49225613007996</v>
      </c>
    </row>
    <row r="9" spans="1:6" x14ac:dyDescent="0.25">
      <c r="A9" t="s">
        <v>8</v>
      </c>
      <c r="B9">
        <v>2</v>
      </c>
      <c r="C9">
        <v>252459.55</v>
      </c>
      <c r="D9">
        <v>252416</v>
      </c>
      <c r="E9">
        <v>252500</v>
      </c>
      <c r="F9">
        <v>21.800172017669951</v>
      </c>
    </row>
    <row r="10" spans="1:6" x14ac:dyDescent="0.25">
      <c r="A10" t="s">
        <v>8</v>
      </c>
      <c r="B10">
        <v>3</v>
      </c>
      <c r="C10">
        <v>763610.15</v>
      </c>
      <c r="D10">
        <v>763569</v>
      </c>
      <c r="E10">
        <v>763650</v>
      </c>
      <c r="F10">
        <v>23.26644579646835</v>
      </c>
    </row>
    <row r="11" spans="1:6" x14ac:dyDescent="0.25">
      <c r="A11" t="s">
        <v>9</v>
      </c>
      <c r="B11">
        <v>1</v>
      </c>
      <c r="C11">
        <v>50599.65</v>
      </c>
      <c r="D11">
        <v>44943</v>
      </c>
      <c r="E11">
        <v>61634</v>
      </c>
      <c r="F11">
        <v>4597.0174926249738</v>
      </c>
    </row>
    <row r="12" spans="1:6" ht="15" customHeight="1" x14ac:dyDescent="0.25">
      <c r="A12" s="1" t="s">
        <v>9</v>
      </c>
      <c r="B12">
        <v>2</v>
      </c>
      <c r="C12">
        <v>299256.95</v>
      </c>
      <c r="D12">
        <v>223322</v>
      </c>
      <c r="E12">
        <v>425443</v>
      </c>
      <c r="F12">
        <v>58879.954478137122</v>
      </c>
    </row>
    <row r="13" spans="1:6" x14ac:dyDescent="0.25">
      <c r="A13" t="s">
        <v>9</v>
      </c>
      <c r="B13">
        <v>3</v>
      </c>
      <c r="C13">
        <v>600779.19999999995</v>
      </c>
      <c r="D13">
        <v>336858</v>
      </c>
      <c r="E13">
        <v>1126598</v>
      </c>
      <c r="F13">
        <v>186341.48808695289</v>
      </c>
    </row>
    <row r="14" spans="1:6" x14ac:dyDescent="0.25">
      <c r="A14" t="s">
        <v>10</v>
      </c>
      <c r="B14">
        <v>1</v>
      </c>
      <c r="C14">
        <v>45339.75</v>
      </c>
      <c r="D14">
        <v>44648</v>
      </c>
      <c r="E14">
        <v>46160</v>
      </c>
      <c r="F14">
        <v>380.48349175752679</v>
      </c>
    </row>
    <row r="15" spans="1:6" x14ac:dyDescent="0.25">
      <c r="A15" t="s">
        <v>10</v>
      </c>
      <c r="B15">
        <v>2</v>
      </c>
      <c r="C15">
        <v>266796.25</v>
      </c>
      <c r="D15">
        <v>252400</v>
      </c>
      <c r="E15">
        <v>289188</v>
      </c>
      <c r="F15">
        <v>8093.1519995302206</v>
      </c>
    </row>
    <row r="16" spans="1:6" x14ac:dyDescent="0.25">
      <c r="A16" t="s">
        <v>10</v>
      </c>
      <c r="B16">
        <v>3</v>
      </c>
      <c r="C16">
        <v>451929.45</v>
      </c>
      <c r="D16">
        <v>411108</v>
      </c>
      <c r="E16">
        <v>500464</v>
      </c>
      <c r="F16">
        <v>18240.571678198579</v>
      </c>
    </row>
    <row r="17" spans="1:6" x14ac:dyDescent="0.25">
      <c r="A17" t="s">
        <v>11</v>
      </c>
      <c r="B17">
        <v>1</v>
      </c>
      <c r="C17">
        <v>51190.65</v>
      </c>
      <c r="D17">
        <v>45242</v>
      </c>
      <c r="E17">
        <v>69165</v>
      </c>
      <c r="F17">
        <v>6244.4622688827258</v>
      </c>
    </row>
    <row r="18" spans="1:6" x14ac:dyDescent="0.25">
      <c r="A18" t="s">
        <v>11</v>
      </c>
      <c r="B18">
        <v>2</v>
      </c>
      <c r="C18">
        <v>328328.90000000002</v>
      </c>
      <c r="D18">
        <v>238775</v>
      </c>
      <c r="E18">
        <v>472982</v>
      </c>
      <c r="F18">
        <v>54746.379560570043</v>
      </c>
    </row>
    <row r="19" spans="1:6" x14ac:dyDescent="0.25">
      <c r="A19" t="s">
        <v>11</v>
      </c>
      <c r="B19">
        <v>3</v>
      </c>
      <c r="C19">
        <v>585224.55000000005</v>
      </c>
      <c r="D19">
        <v>369707</v>
      </c>
      <c r="E19">
        <v>929829</v>
      </c>
      <c r="F19">
        <v>155531.7041514286</v>
      </c>
    </row>
    <row r="20" spans="1:6" ht="15" customHeight="1" x14ac:dyDescent="0.25">
      <c r="A20" s="1" t="s">
        <v>12</v>
      </c>
      <c r="B20">
        <v>1</v>
      </c>
      <c r="C20">
        <v>49706.6</v>
      </c>
      <c r="D20">
        <v>45135</v>
      </c>
      <c r="E20">
        <v>53209</v>
      </c>
      <c r="F20">
        <v>2530.3790901760149</v>
      </c>
    </row>
    <row r="21" spans="1:6" x14ac:dyDescent="0.25">
      <c r="A21" t="s">
        <v>12</v>
      </c>
      <c r="B21">
        <v>2</v>
      </c>
      <c r="C21">
        <v>301160.65000000002</v>
      </c>
      <c r="D21">
        <v>268155</v>
      </c>
      <c r="E21">
        <v>355908</v>
      </c>
      <c r="F21">
        <v>23222.66196471671</v>
      </c>
    </row>
    <row r="22" spans="1:6" x14ac:dyDescent="0.25">
      <c r="A22" t="s">
        <v>12</v>
      </c>
      <c r="B22">
        <v>3</v>
      </c>
      <c r="C22">
        <v>524298.69999999995</v>
      </c>
      <c r="D22">
        <v>464770</v>
      </c>
      <c r="E22">
        <v>618400</v>
      </c>
      <c r="F22">
        <v>30722.988188162952</v>
      </c>
    </row>
    <row r="23" spans="1:6" ht="15" customHeight="1" x14ac:dyDescent="0.25">
      <c r="A23" s="1" t="s">
        <v>13</v>
      </c>
      <c r="B23">
        <v>1</v>
      </c>
      <c r="C23">
        <v>51332.1</v>
      </c>
      <c r="D23">
        <v>44000</v>
      </c>
      <c r="E23">
        <v>61132</v>
      </c>
      <c r="F23">
        <v>5114.383089875063</v>
      </c>
    </row>
    <row r="24" spans="1:6" x14ac:dyDescent="0.25">
      <c r="A24" t="s">
        <v>13</v>
      </c>
      <c r="B24">
        <v>2</v>
      </c>
      <c r="C24">
        <v>306375</v>
      </c>
      <c r="D24">
        <v>202845</v>
      </c>
      <c r="E24">
        <v>606269</v>
      </c>
      <c r="F24">
        <v>97279.704437256587</v>
      </c>
    </row>
    <row r="25" spans="1:6" x14ac:dyDescent="0.25">
      <c r="A25" t="s">
        <v>13</v>
      </c>
      <c r="B25">
        <v>3</v>
      </c>
      <c r="C25">
        <v>513969.4</v>
      </c>
      <c r="D25">
        <v>346743</v>
      </c>
      <c r="E25">
        <v>946571</v>
      </c>
      <c r="F25">
        <v>134585.5883203696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192629.68333333329</v>
      </c>
      <c r="D29">
        <v>41537</v>
      </c>
      <c r="E29">
        <v>459012</v>
      </c>
      <c r="F29">
        <v>117017.9970191896</v>
      </c>
    </row>
    <row r="30" spans="1:6" x14ac:dyDescent="0.25">
      <c r="A30" t="s">
        <v>7</v>
      </c>
      <c r="C30">
        <v>189539.6166666667</v>
      </c>
      <c r="D30">
        <v>41907</v>
      </c>
      <c r="E30">
        <v>402738</v>
      </c>
      <c r="F30">
        <v>112233.0534820427</v>
      </c>
    </row>
    <row r="31" spans="1:6" ht="15" customHeight="1" x14ac:dyDescent="0.25">
      <c r="A31" s="1" t="s">
        <v>8</v>
      </c>
      <c r="C31">
        <v>353241.13333333342</v>
      </c>
      <c r="D31">
        <v>43624</v>
      </c>
      <c r="E31">
        <v>763650</v>
      </c>
      <c r="F31">
        <v>302436.79092423408</v>
      </c>
    </row>
    <row r="32" spans="1:6" x14ac:dyDescent="0.25">
      <c r="A32" t="s">
        <v>9</v>
      </c>
      <c r="C32">
        <v>316878.59999999998</v>
      </c>
      <c r="D32">
        <v>44943</v>
      </c>
      <c r="E32">
        <v>1126598</v>
      </c>
      <c r="F32">
        <v>251678.15706693081</v>
      </c>
    </row>
    <row r="33" spans="1:6" x14ac:dyDescent="0.25">
      <c r="A33" t="s">
        <v>10</v>
      </c>
      <c r="C33">
        <v>254688.48333333331</v>
      </c>
      <c r="D33">
        <v>44648</v>
      </c>
      <c r="E33">
        <v>500464</v>
      </c>
      <c r="F33">
        <v>166609.17484305319</v>
      </c>
    </row>
    <row r="34" spans="1:6" x14ac:dyDescent="0.25">
      <c r="A34" t="s">
        <v>11</v>
      </c>
      <c r="C34">
        <v>321581.36666666658</v>
      </c>
      <c r="D34">
        <v>45242</v>
      </c>
      <c r="E34">
        <v>929829</v>
      </c>
      <c r="F34">
        <v>237971.0538167732</v>
      </c>
    </row>
    <row r="35" spans="1:6" ht="15" customHeight="1" x14ac:dyDescent="0.25">
      <c r="A35" s="1" t="s">
        <v>12</v>
      </c>
      <c r="C35">
        <v>291721.98333333328</v>
      </c>
      <c r="D35">
        <v>45135</v>
      </c>
      <c r="E35">
        <v>618400</v>
      </c>
      <c r="F35">
        <v>195142.7342435524</v>
      </c>
    </row>
    <row r="36" spans="1:6" ht="15" customHeight="1" x14ac:dyDescent="0.25">
      <c r="A36" s="1" t="s">
        <v>13</v>
      </c>
      <c r="C36">
        <v>290558.83333333331</v>
      </c>
      <c r="D36">
        <v>44000</v>
      </c>
      <c r="E36">
        <v>946571</v>
      </c>
      <c r="F36">
        <v>212127.8236983672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43607.6</v>
      </c>
      <c r="C41">
        <v>218342.1</v>
      </c>
      <c r="D41">
        <v>315939.34999999998</v>
      </c>
    </row>
    <row r="42" spans="1:6" x14ac:dyDescent="0.25">
      <c r="A42" t="s">
        <v>7</v>
      </c>
      <c r="B42">
        <v>43664.6</v>
      </c>
      <c r="C42">
        <v>215911.65</v>
      </c>
      <c r="D42">
        <v>309042.59999999998</v>
      </c>
    </row>
    <row r="43" spans="1:6" ht="15" customHeight="1" x14ac:dyDescent="0.25">
      <c r="A43" s="1" t="s">
        <v>8</v>
      </c>
      <c r="B43">
        <v>43653.7</v>
      </c>
      <c r="C43">
        <v>252459.55</v>
      </c>
      <c r="D43">
        <v>763610.15</v>
      </c>
    </row>
    <row r="44" spans="1:6" x14ac:dyDescent="0.25">
      <c r="A44" t="s">
        <v>9</v>
      </c>
      <c r="B44">
        <v>50599.65</v>
      </c>
      <c r="C44">
        <v>299256.95</v>
      </c>
      <c r="D44">
        <v>600779.19999999995</v>
      </c>
    </row>
    <row r="45" spans="1:6" x14ac:dyDescent="0.25">
      <c r="A45" t="s">
        <v>10</v>
      </c>
      <c r="B45">
        <v>45339.75</v>
      </c>
      <c r="C45">
        <v>266796.25</v>
      </c>
      <c r="D45">
        <v>451929.45</v>
      </c>
    </row>
    <row r="46" spans="1:6" x14ac:dyDescent="0.25">
      <c r="A46" t="s">
        <v>11</v>
      </c>
      <c r="B46">
        <v>51190.65</v>
      </c>
      <c r="C46">
        <v>328328.90000000002</v>
      </c>
      <c r="D46">
        <v>585224.55000000005</v>
      </c>
    </row>
    <row r="47" spans="1:6" ht="15" customHeight="1" x14ac:dyDescent="0.25">
      <c r="A47" s="1" t="s">
        <v>12</v>
      </c>
      <c r="B47">
        <v>49706.6</v>
      </c>
      <c r="C47">
        <v>301160.65000000002</v>
      </c>
      <c r="D47">
        <v>524298.69999999995</v>
      </c>
    </row>
    <row r="48" spans="1:6" x14ac:dyDescent="0.25">
      <c r="A48" t="s">
        <v>13</v>
      </c>
      <c r="B48">
        <v>51332.1</v>
      </c>
      <c r="C48">
        <v>306375</v>
      </c>
      <c r="D48">
        <v>513969.4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43154</v>
      </c>
      <c r="C53">
        <v>45150</v>
      </c>
      <c r="D53">
        <v>44519</v>
      </c>
      <c r="E53">
        <v>43212</v>
      </c>
      <c r="F53">
        <v>41680</v>
      </c>
      <c r="G53">
        <v>44650</v>
      </c>
      <c r="H53">
        <v>41619</v>
      </c>
      <c r="I53">
        <v>43648</v>
      </c>
      <c r="J53">
        <v>43621</v>
      </c>
      <c r="K53">
        <v>41708</v>
      </c>
      <c r="L53">
        <v>43951</v>
      </c>
      <c r="M53">
        <v>45524</v>
      </c>
      <c r="N53">
        <v>41537</v>
      </c>
      <c r="O53">
        <v>45019</v>
      </c>
      <c r="P53">
        <v>43796</v>
      </c>
      <c r="Q53">
        <v>43635</v>
      </c>
      <c r="R53">
        <v>43738</v>
      </c>
      <c r="S53">
        <v>42908</v>
      </c>
      <c r="T53">
        <v>43933</v>
      </c>
      <c r="U53">
        <v>45150</v>
      </c>
      <c r="V53">
        <v>243072</v>
      </c>
      <c r="W53">
        <v>207866</v>
      </c>
      <c r="X53">
        <v>243286</v>
      </c>
      <c r="Y53">
        <v>212095</v>
      </c>
      <c r="Z53">
        <v>204808</v>
      </c>
      <c r="AA53">
        <v>243054</v>
      </c>
      <c r="AB53">
        <v>212294</v>
      </c>
      <c r="AC53">
        <v>211842</v>
      </c>
      <c r="AD53">
        <v>243210</v>
      </c>
      <c r="AE53">
        <v>205623</v>
      </c>
      <c r="AF53">
        <v>205940</v>
      </c>
      <c r="AG53">
        <v>211776</v>
      </c>
      <c r="AH53">
        <v>202596</v>
      </c>
      <c r="AI53">
        <v>233790</v>
      </c>
      <c r="AJ53">
        <v>207656</v>
      </c>
      <c r="AK53">
        <v>212120</v>
      </c>
      <c r="AL53">
        <v>203150</v>
      </c>
      <c r="AM53">
        <v>207817</v>
      </c>
      <c r="AN53">
        <v>243081</v>
      </c>
      <c r="AO53">
        <v>211766</v>
      </c>
      <c r="AP53">
        <v>307282</v>
      </c>
      <c r="AQ53">
        <v>263869</v>
      </c>
      <c r="AR53">
        <v>413534</v>
      </c>
      <c r="AS53">
        <v>381725</v>
      </c>
      <c r="AT53">
        <v>286394</v>
      </c>
      <c r="AU53">
        <v>318622</v>
      </c>
      <c r="AV53">
        <v>349306</v>
      </c>
      <c r="AW53">
        <v>331285</v>
      </c>
      <c r="AX53">
        <v>289905</v>
      </c>
      <c r="AY53">
        <v>290613</v>
      </c>
      <c r="AZ53">
        <v>264230</v>
      </c>
      <c r="BA53">
        <v>277539</v>
      </c>
      <c r="BB53">
        <v>297574</v>
      </c>
      <c r="BC53">
        <v>280664</v>
      </c>
      <c r="BD53">
        <v>266389</v>
      </c>
      <c r="BE53">
        <v>287069</v>
      </c>
      <c r="BF53">
        <v>459012</v>
      </c>
      <c r="BG53">
        <v>378632</v>
      </c>
      <c r="BH53">
        <v>287596</v>
      </c>
      <c r="BI53">
        <v>287547</v>
      </c>
    </row>
    <row r="54" spans="1:61" x14ac:dyDescent="0.25">
      <c r="A54" t="s">
        <v>7</v>
      </c>
      <c r="B54">
        <v>44116</v>
      </c>
      <c r="C54">
        <v>43857</v>
      </c>
      <c r="D54">
        <v>43418</v>
      </c>
      <c r="E54">
        <v>43043</v>
      </c>
      <c r="F54">
        <v>43560</v>
      </c>
      <c r="G54">
        <v>43859</v>
      </c>
      <c r="H54">
        <v>45148</v>
      </c>
      <c r="I54">
        <v>46388</v>
      </c>
      <c r="J54">
        <v>42075</v>
      </c>
      <c r="K54">
        <v>43190</v>
      </c>
      <c r="L54">
        <v>43943</v>
      </c>
      <c r="M54">
        <v>42731</v>
      </c>
      <c r="N54">
        <v>41907</v>
      </c>
      <c r="O54">
        <v>42752</v>
      </c>
      <c r="P54">
        <v>44366</v>
      </c>
      <c r="Q54">
        <v>43014</v>
      </c>
      <c r="R54">
        <v>42788</v>
      </c>
      <c r="S54">
        <v>43798</v>
      </c>
      <c r="T54">
        <v>46035</v>
      </c>
      <c r="U54">
        <v>43304</v>
      </c>
      <c r="V54">
        <v>211810</v>
      </c>
      <c r="W54">
        <v>205676</v>
      </c>
      <c r="X54">
        <v>205685</v>
      </c>
      <c r="Y54">
        <v>238555</v>
      </c>
      <c r="Z54">
        <v>211799</v>
      </c>
      <c r="AA54">
        <v>205603</v>
      </c>
      <c r="AB54">
        <v>212056</v>
      </c>
      <c r="AC54">
        <v>212135</v>
      </c>
      <c r="AD54">
        <v>211781</v>
      </c>
      <c r="AE54">
        <v>238793</v>
      </c>
      <c r="AF54">
        <v>212056</v>
      </c>
      <c r="AG54">
        <v>238776</v>
      </c>
      <c r="AH54">
        <v>202890</v>
      </c>
      <c r="AI54">
        <v>207770</v>
      </c>
      <c r="AJ54">
        <v>212104</v>
      </c>
      <c r="AK54">
        <v>211876</v>
      </c>
      <c r="AL54">
        <v>211920</v>
      </c>
      <c r="AM54">
        <v>211898</v>
      </c>
      <c r="AN54">
        <v>243001</v>
      </c>
      <c r="AO54">
        <v>212049</v>
      </c>
      <c r="AP54">
        <v>277995</v>
      </c>
      <c r="AQ54">
        <v>293598</v>
      </c>
      <c r="AR54">
        <v>307929</v>
      </c>
      <c r="AS54">
        <v>263414</v>
      </c>
      <c r="AT54">
        <v>271386</v>
      </c>
      <c r="AU54">
        <v>303162</v>
      </c>
      <c r="AV54">
        <v>296651</v>
      </c>
      <c r="AW54">
        <v>283902</v>
      </c>
      <c r="AX54">
        <v>280973</v>
      </c>
      <c r="AY54">
        <v>356780</v>
      </c>
      <c r="AZ54">
        <v>316068</v>
      </c>
      <c r="BA54">
        <v>355190</v>
      </c>
      <c r="BB54">
        <v>271560</v>
      </c>
      <c r="BC54">
        <v>379774</v>
      </c>
      <c r="BD54">
        <v>320461</v>
      </c>
      <c r="BE54">
        <v>402738</v>
      </c>
      <c r="BF54">
        <v>301854</v>
      </c>
      <c r="BG54">
        <v>286698</v>
      </c>
      <c r="BH54">
        <v>283576</v>
      </c>
      <c r="BI54">
        <v>327143</v>
      </c>
    </row>
    <row r="55" spans="1:61" x14ac:dyDescent="0.25">
      <c r="A55" t="s">
        <v>8</v>
      </c>
      <c r="B55">
        <v>43643</v>
      </c>
      <c r="C55">
        <v>43659</v>
      </c>
      <c r="D55">
        <v>43659</v>
      </c>
      <c r="E55">
        <v>43660</v>
      </c>
      <c r="F55">
        <v>43658</v>
      </c>
      <c r="G55">
        <v>43646</v>
      </c>
      <c r="H55">
        <v>43629</v>
      </c>
      <c r="I55">
        <v>43668</v>
      </c>
      <c r="J55">
        <v>43691</v>
      </c>
      <c r="K55">
        <v>43655</v>
      </c>
      <c r="L55">
        <v>43656</v>
      </c>
      <c r="M55">
        <v>43643</v>
      </c>
      <c r="N55">
        <v>43648</v>
      </c>
      <c r="O55">
        <v>43664</v>
      </c>
      <c r="P55">
        <v>43624</v>
      </c>
      <c r="Q55">
        <v>43653</v>
      </c>
      <c r="R55">
        <v>43667</v>
      </c>
      <c r="S55">
        <v>43646</v>
      </c>
      <c r="T55">
        <v>43631</v>
      </c>
      <c r="U55">
        <v>43674</v>
      </c>
      <c r="V55">
        <v>252464</v>
      </c>
      <c r="W55">
        <v>252472</v>
      </c>
      <c r="X55">
        <v>252467</v>
      </c>
      <c r="Y55">
        <v>252487</v>
      </c>
      <c r="Z55">
        <v>252469</v>
      </c>
      <c r="AA55">
        <v>252450</v>
      </c>
      <c r="AB55">
        <v>252440</v>
      </c>
      <c r="AC55">
        <v>252439</v>
      </c>
      <c r="AD55">
        <v>252473</v>
      </c>
      <c r="AE55">
        <v>252500</v>
      </c>
      <c r="AF55">
        <v>252467</v>
      </c>
      <c r="AG55">
        <v>252480</v>
      </c>
      <c r="AH55">
        <v>252474</v>
      </c>
      <c r="AI55">
        <v>252452</v>
      </c>
      <c r="AJ55">
        <v>252431</v>
      </c>
      <c r="AK55">
        <v>252427</v>
      </c>
      <c r="AL55">
        <v>252416</v>
      </c>
      <c r="AM55">
        <v>252460</v>
      </c>
      <c r="AN55">
        <v>252486</v>
      </c>
      <c r="AO55">
        <v>252437</v>
      </c>
      <c r="AP55">
        <v>763630</v>
      </c>
      <c r="AQ55">
        <v>763630</v>
      </c>
      <c r="AR55">
        <v>763598</v>
      </c>
      <c r="AS55">
        <v>763593</v>
      </c>
      <c r="AT55">
        <v>763611</v>
      </c>
      <c r="AU55">
        <v>763650</v>
      </c>
      <c r="AV55">
        <v>763628</v>
      </c>
      <c r="AW55">
        <v>763627</v>
      </c>
      <c r="AX55">
        <v>763582</v>
      </c>
      <c r="AY55">
        <v>763606</v>
      </c>
      <c r="AZ55">
        <v>763581</v>
      </c>
      <c r="BA55">
        <v>763597</v>
      </c>
      <c r="BB55">
        <v>763624</v>
      </c>
      <c r="BC55">
        <v>763600</v>
      </c>
      <c r="BD55">
        <v>763580</v>
      </c>
      <c r="BE55">
        <v>763598</v>
      </c>
      <c r="BF55">
        <v>763608</v>
      </c>
      <c r="BG55">
        <v>763649</v>
      </c>
      <c r="BH55">
        <v>763642</v>
      </c>
      <c r="BI55">
        <v>763569</v>
      </c>
    </row>
    <row r="56" spans="1:61" x14ac:dyDescent="0.25">
      <c r="A56" t="s">
        <v>9</v>
      </c>
      <c r="B56">
        <v>44974</v>
      </c>
      <c r="C56">
        <v>53483</v>
      </c>
      <c r="D56">
        <v>52029</v>
      </c>
      <c r="E56">
        <v>45531</v>
      </c>
      <c r="F56">
        <v>61634</v>
      </c>
      <c r="G56">
        <v>45387</v>
      </c>
      <c r="H56">
        <v>44943</v>
      </c>
      <c r="I56">
        <v>45216</v>
      </c>
      <c r="J56">
        <v>52131</v>
      </c>
      <c r="K56">
        <v>50232</v>
      </c>
      <c r="L56">
        <v>58828</v>
      </c>
      <c r="M56">
        <v>52652</v>
      </c>
      <c r="N56">
        <v>45152</v>
      </c>
      <c r="O56">
        <v>54278</v>
      </c>
      <c r="P56">
        <v>46400</v>
      </c>
      <c r="Q56">
        <v>51669</v>
      </c>
      <c r="R56">
        <v>52371</v>
      </c>
      <c r="S56">
        <v>52005</v>
      </c>
      <c r="T56">
        <v>50595</v>
      </c>
      <c r="U56">
        <v>52483</v>
      </c>
      <c r="V56">
        <v>316470</v>
      </c>
      <c r="W56">
        <v>297735</v>
      </c>
      <c r="X56">
        <v>223322</v>
      </c>
      <c r="Y56">
        <v>425443</v>
      </c>
      <c r="Z56">
        <v>269147</v>
      </c>
      <c r="AA56">
        <v>241500</v>
      </c>
      <c r="AB56">
        <v>280118</v>
      </c>
      <c r="AC56">
        <v>318137</v>
      </c>
      <c r="AD56">
        <v>360529</v>
      </c>
      <c r="AE56">
        <v>285278</v>
      </c>
      <c r="AF56">
        <v>232018</v>
      </c>
      <c r="AG56">
        <v>419438</v>
      </c>
      <c r="AH56">
        <v>275317</v>
      </c>
      <c r="AI56">
        <v>243914</v>
      </c>
      <c r="AJ56">
        <v>352221</v>
      </c>
      <c r="AK56">
        <v>236043</v>
      </c>
      <c r="AL56">
        <v>257872</v>
      </c>
      <c r="AM56">
        <v>266254</v>
      </c>
      <c r="AN56">
        <v>306526</v>
      </c>
      <c r="AO56">
        <v>377857</v>
      </c>
      <c r="AP56">
        <v>854809</v>
      </c>
      <c r="AQ56">
        <v>336858</v>
      </c>
      <c r="AR56">
        <v>501552</v>
      </c>
      <c r="AS56">
        <v>470805</v>
      </c>
      <c r="AT56">
        <v>540833</v>
      </c>
      <c r="AU56">
        <v>462356</v>
      </c>
      <c r="AV56">
        <v>649922</v>
      </c>
      <c r="AW56">
        <v>381784</v>
      </c>
      <c r="AX56">
        <v>1126598</v>
      </c>
      <c r="AY56">
        <v>426493</v>
      </c>
      <c r="AZ56">
        <v>535799</v>
      </c>
      <c r="BA56">
        <v>569580</v>
      </c>
      <c r="BB56">
        <v>733041</v>
      </c>
      <c r="BC56">
        <v>685629</v>
      </c>
      <c r="BD56">
        <v>518080</v>
      </c>
      <c r="BE56">
        <v>611643</v>
      </c>
      <c r="BF56">
        <v>678428</v>
      </c>
      <c r="BG56">
        <v>670987</v>
      </c>
      <c r="BH56">
        <v>858244</v>
      </c>
      <c r="BI56">
        <v>402143</v>
      </c>
    </row>
    <row r="57" spans="1:61" x14ac:dyDescent="0.25">
      <c r="A57" t="s">
        <v>10</v>
      </c>
      <c r="B57">
        <v>45460</v>
      </c>
      <c r="C57">
        <v>45696</v>
      </c>
      <c r="D57">
        <v>45311</v>
      </c>
      <c r="E57">
        <v>45539</v>
      </c>
      <c r="F57">
        <v>45484</v>
      </c>
      <c r="G57">
        <v>46002</v>
      </c>
      <c r="H57">
        <v>45228</v>
      </c>
      <c r="I57">
        <v>45520</v>
      </c>
      <c r="J57">
        <v>45477</v>
      </c>
      <c r="K57">
        <v>45668</v>
      </c>
      <c r="L57">
        <v>44802</v>
      </c>
      <c r="M57">
        <v>45129</v>
      </c>
      <c r="N57">
        <v>44859</v>
      </c>
      <c r="O57">
        <v>45432</v>
      </c>
      <c r="P57">
        <v>45023</v>
      </c>
      <c r="Q57">
        <v>46160</v>
      </c>
      <c r="R57">
        <v>44851</v>
      </c>
      <c r="S57">
        <v>44648</v>
      </c>
      <c r="T57">
        <v>45296</v>
      </c>
      <c r="U57">
        <v>45210</v>
      </c>
      <c r="V57">
        <v>272061</v>
      </c>
      <c r="W57">
        <v>257667</v>
      </c>
      <c r="X57">
        <v>264487</v>
      </c>
      <c r="Y57">
        <v>265325</v>
      </c>
      <c r="Z57">
        <v>266803</v>
      </c>
      <c r="AA57">
        <v>263959</v>
      </c>
      <c r="AB57">
        <v>258889</v>
      </c>
      <c r="AC57">
        <v>289188</v>
      </c>
      <c r="AD57">
        <v>271271</v>
      </c>
      <c r="AE57">
        <v>273149</v>
      </c>
      <c r="AF57">
        <v>272748</v>
      </c>
      <c r="AG57">
        <v>252400</v>
      </c>
      <c r="AH57">
        <v>256134</v>
      </c>
      <c r="AI57">
        <v>269940</v>
      </c>
      <c r="AJ57">
        <v>270443</v>
      </c>
      <c r="AK57">
        <v>268972</v>
      </c>
      <c r="AL57">
        <v>264208</v>
      </c>
      <c r="AM57">
        <v>259056</v>
      </c>
      <c r="AN57">
        <v>276407</v>
      </c>
      <c r="AO57">
        <v>262818</v>
      </c>
      <c r="AP57">
        <v>453940</v>
      </c>
      <c r="AQ57">
        <v>500464</v>
      </c>
      <c r="AR57">
        <v>463611</v>
      </c>
      <c r="AS57">
        <v>468181</v>
      </c>
      <c r="AT57">
        <v>453298</v>
      </c>
      <c r="AU57">
        <v>454271</v>
      </c>
      <c r="AV57">
        <v>451310</v>
      </c>
      <c r="AW57">
        <v>428056</v>
      </c>
      <c r="AX57">
        <v>431191</v>
      </c>
      <c r="AY57">
        <v>441818</v>
      </c>
      <c r="AZ57">
        <v>445468</v>
      </c>
      <c r="BA57">
        <v>465432</v>
      </c>
      <c r="BB57">
        <v>451883</v>
      </c>
      <c r="BC57">
        <v>411108</v>
      </c>
      <c r="BD57">
        <v>433923</v>
      </c>
      <c r="BE57">
        <v>454504</v>
      </c>
      <c r="BF57">
        <v>441786</v>
      </c>
      <c r="BG57">
        <v>462877</v>
      </c>
      <c r="BH57">
        <v>455433</v>
      </c>
      <c r="BI57">
        <v>470035</v>
      </c>
    </row>
    <row r="58" spans="1:61" x14ac:dyDescent="0.25">
      <c r="A58" t="s">
        <v>11</v>
      </c>
      <c r="B58">
        <v>55179</v>
      </c>
      <c r="C58">
        <v>45370</v>
      </c>
      <c r="D58">
        <v>59108</v>
      </c>
      <c r="E58">
        <v>45668</v>
      </c>
      <c r="F58">
        <v>52724</v>
      </c>
      <c r="G58">
        <v>54471</v>
      </c>
      <c r="H58">
        <v>54096</v>
      </c>
      <c r="I58">
        <v>45521</v>
      </c>
      <c r="J58">
        <v>59372</v>
      </c>
      <c r="K58">
        <v>69165</v>
      </c>
      <c r="L58">
        <v>45869</v>
      </c>
      <c r="M58">
        <v>45242</v>
      </c>
      <c r="N58">
        <v>45828</v>
      </c>
      <c r="O58">
        <v>52661</v>
      </c>
      <c r="P58">
        <v>46085</v>
      </c>
      <c r="Q58">
        <v>52523</v>
      </c>
      <c r="R58">
        <v>45511</v>
      </c>
      <c r="S58">
        <v>52990</v>
      </c>
      <c r="T58">
        <v>45256</v>
      </c>
      <c r="U58">
        <v>51174</v>
      </c>
      <c r="V58">
        <v>364119</v>
      </c>
      <c r="W58">
        <v>288476</v>
      </c>
      <c r="X58">
        <v>377852</v>
      </c>
      <c r="Y58">
        <v>326375</v>
      </c>
      <c r="Z58">
        <v>238775</v>
      </c>
      <c r="AA58">
        <v>313634</v>
      </c>
      <c r="AB58">
        <v>288915</v>
      </c>
      <c r="AC58">
        <v>422434</v>
      </c>
      <c r="AD58">
        <v>318918</v>
      </c>
      <c r="AE58">
        <v>472982</v>
      </c>
      <c r="AF58">
        <v>355217</v>
      </c>
      <c r="AG58">
        <v>334334</v>
      </c>
      <c r="AH58">
        <v>252396</v>
      </c>
      <c r="AI58">
        <v>296349</v>
      </c>
      <c r="AJ58">
        <v>334133</v>
      </c>
      <c r="AK58">
        <v>349502</v>
      </c>
      <c r="AL58">
        <v>322532</v>
      </c>
      <c r="AM58">
        <v>360874</v>
      </c>
      <c r="AN58">
        <v>271513</v>
      </c>
      <c r="AO58">
        <v>277248</v>
      </c>
      <c r="AP58">
        <v>508697</v>
      </c>
      <c r="AQ58">
        <v>549788</v>
      </c>
      <c r="AR58">
        <v>642452</v>
      </c>
      <c r="AS58">
        <v>627328</v>
      </c>
      <c r="AT58">
        <v>421271</v>
      </c>
      <c r="AU58">
        <v>731382</v>
      </c>
      <c r="AV58">
        <v>473395</v>
      </c>
      <c r="AW58">
        <v>406309</v>
      </c>
      <c r="AX58">
        <v>459212</v>
      </c>
      <c r="AY58">
        <v>640685</v>
      </c>
      <c r="AZ58">
        <v>929829</v>
      </c>
      <c r="BA58">
        <v>404229</v>
      </c>
      <c r="BB58">
        <v>632015</v>
      </c>
      <c r="BC58">
        <v>896216</v>
      </c>
      <c r="BD58">
        <v>661623</v>
      </c>
      <c r="BE58">
        <v>614722</v>
      </c>
      <c r="BF58">
        <v>465531</v>
      </c>
      <c r="BG58">
        <v>498916</v>
      </c>
      <c r="BH58">
        <v>771184</v>
      </c>
      <c r="BI58">
        <v>369707</v>
      </c>
    </row>
    <row r="59" spans="1:61" ht="15" customHeight="1" x14ac:dyDescent="0.25">
      <c r="A59" s="1" t="s">
        <v>12</v>
      </c>
      <c r="B59">
        <v>49975</v>
      </c>
      <c r="C59">
        <v>45135</v>
      </c>
      <c r="D59">
        <v>50648</v>
      </c>
      <c r="E59">
        <v>46097</v>
      </c>
      <c r="F59">
        <v>49753</v>
      </c>
      <c r="G59">
        <v>49900</v>
      </c>
      <c r="H59">
        <v>50401</v>
      </c>
      <c r="I59">
        <v>50700</v>
      </c>
      <c r="J59">
        <v>53209</v>
      </c>
      <c r="K59">
        <v>45993</v>
      </c>
      <c r="L59">
        <v>49148</v>
      </c>
      <c r="M59">
        <v>49843</v>
      </c>
      <c r="N59">
        <v>45466</v>
      </c>
      <c r="O59">
        <v>50727</v>
      </c>
      <c r="P59">
        <v>52604</v>
      </c>
      <c r="Q59">
        <v>52008</v>
      </c>
      <c r="R59">
        <v>51469</v>
      </c>
      <c r="S59">
        <v>46016</v>
      </c>
      <c r="T59">
        <v>52510</v>
      </c>
      <c r="U59">
        <v>52530</v>
      </c>
      <c r="V59">
        <v>294767</v>
      </c>
      <c r="W59">
        <v>279325</v>
      </c>
      <c r="X59">
        <v>296663</v>
      </c>
      <c r="Y59">
        <v>295357</v>
      </c>
      <c r="Z59">
        <v>290531</v>
      </c>
      <c r="AA59">
        <v>317893</v>
      </c>
      <c r="AB59">
        <v>274125</v>
      </c>
      <c r="AC59">
        <v>355908</v>
      </c>
      <c r="AD59">
        <v>268155</v>
      </c>
      <c r="AE59">
        <v>281216</v>
      </c>
      <c r="AF59">
        <v>291406</v>
      </c>
      <c r="AG59">
        <v>287813</v>
      </c>
      <c r="AH59">
        <v>302895</v>
      </c>
      <c r="AI59">
        <v>309279</v>
      </c>
      <c r="AJ59">
        <v>280471</v>
      </c>
      <c r="AK59">
        <v>315931</v>
      </c>
      <c r="AL59">
        <v>354054</v>
      </c>
      <c r="AM59">
        <v>297803</v>
      </c>
      <c r="AN59">
        <v>300048</v>
      </c>
      <c r="AO59">
        <v>329573</v>
      </c>
      <c r="AP59">
        <v>464770</v>
      </c>
      <c r="AQ59">
        <v>517866</v>
      </c>
      <c r="AR59">
        <v>546774</v>
      </c>
      <c r="AS59">
        <v>508655</v>
      </c>
      <c r="AT59">
        <v>498679</v>
      </c>
      <c r="AU59">
        <v>518338</v>
      </c>
      <c r="AV59">
        <v>505697</v>
      </c>
      <c r="AW59">
        <v>504696</v>
      </c>
      <c r="AX59">
        <v>539076</v>
      </c>
      <c r="AY59">
        <v>508830</v>
      </c>
      <c r="AZ59">
        <v>505085</v>
      </c>
      <c r="BA59">
        <v>520004</v>
      </c>
      <c r="BB59">
        <v>552926</v>
      </c>
      <c r="BC59">
        <v>513483</v>
      </c>
      <c r="BD59">
        <v>527378</v>
      </c>
      <c r="BE59">
        <v>618400</v>
      </c>
      <c r="BF59">
        <v>506652</v>
      </c>
      <c r="BG59">
        <v>561273</v>
      </c>
      <c r="BH59">
        <v>516096</v>
      </c>
      <c r="BI59">
        <v>551296</v>
      </c>
    </row>
    <row r="60" spans="1:61" x14ac:dyDescent="0.25">
      <c r="A60" t="s">
        <v>13</v>
      </c>
      <c r="B60">
        <v>59982</v>
      </c>
      <c r="C60">
        <v>52614</v>
      </c>
      <c r="D60">
        <v>46448</v>
      </c>
      <c r="E60">
        <v>55073</v>
      </c>
      <c r="F60">
        <v>45615</v>
      </c>
      <c r="G60">
        <v>44884</v>
      </c>
      <c r="H60">
        <v>50276</v>
      </c>
      <c r="I60">
        <v>52835</v>
      </c>
      <c r="J60">
        <v>45931</v>
      </c>
      <c r="K60">
        <v>61132</v>
      </c>
      <c r="L60">
        <v>45877</v>
      </c>
      <c r="M60">
        <v>59835</v>
      </c>
      <c r="N60">
        <v>52492</v>
      </c>
      <c r="O60">
        <v>44000</v>
      </c>
      <c r="P60">
        <v>45962</v>
      </c>
      <c r="Q60">
        <v>52516</v>
      </c>
      <c r="R60">
        <v>53135</v>
      </c>
      <c r="S60">
        <v>50373</v>
      </c>
      <c r="T60">
        <v>54810</v>
      </c>
      <c r="U60">
        <v>52852</v>
      </c>
      <c r="V60">
        <v>340312</v>
      </c>
      <c r="W60">
        <v>239133</v>
      </c>
      <c r="X60">
        <v>346672</v>
      </c>
      <c r="Y60">
        <v>335144</v>
      </c>
      <c r="Z60">
        <v>382566</v>
      </c>
      <c r="AA60">
        <v>606269</v>
      </c>
      <c r="AB60">
        <v>325324</v>
      </c>
      <c r="AC60">
        <v>391870</v>
      </c>
      <c r="AD60">
        <v>221343</v>
      </c>
      <c r="AE60">
        <v>475092</v>
      </c>
      <c r="AF60">
        <v>238819</v>
      </c>
      <c r="AG60">
        <v>284827</v>
      </c>
      <c r="AH60">
        <v>243024</v>
      </c>
      <c r="AI60">
        <v>202845</v>
      </c>
      <c r="AJ60">
        <v>242845</v>
      </c>
      <c r="AK60">
        <v>212047</v>
      </c>
      <c r="AL60">
        <v>257522</v>
      </c>
      <c r="AM60">
        <v>273544</v>
      </c>
      <c r="AN60">
        <v>239602</v>
      </c>
      <c r="AO60">
        <v>268700</v>
      </c>
      <c r="AP60">
        <v>518081</v>
      </c>
      <c r="AQ60">
        <v>508801</v>
      </c>
      <c r="AR60">
        <v>707642</v>
      </c>
      <c r="AS60">
        <v>533254</v>
      </c>
      <c r="AT60">
        <v>657835</v>
      </c>
      <c r="AU60">
        <v>506071</v>
      </c>
      <c r="AV60">
        <v>641832</v>
      </c>
      <c r="AW60">
        <v>448819</v>
      </c>
      <c r="AX60">
        <v>450446</v>
      </c>
      <c r="AY60">
        <v>458115</v>
      </c>
      <c r="AZ60">
        <v>445973</v>
      </c>
      <c r="BA60">
        <v>461653</v>
      </c>
      <c r="BB60">
        <v>346743</v>
      </c>
      <c r="BC60">
        <v>397684</v>
      </c>
      <c r="BD60">
        <v>946571</v>
      </c>
      <c r="BE60">
        <v>464962</v>
      </c>
      <c r="BF60">
        <v>532024</v>
      </c>
      <c r="BG60">
        <v>489584</v>
      </c>
      <c r="BH60">
        <v>409050</v>
      </c>
      <c r="BI60">
        <v>354248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68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2" width="6" customWidth="1"/>
    <col min="3" max="3" width="20" customWidth="1"/>
    <col min="4" max="5" width="6" customWidth="1"/>
    <col min="6" max="6" width="21" customWidth="1"/>
    <col min="7" max="61" width="6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5" customHeight="1" x14ac:dyDescent="0.25">
      <c r="A2" t="s">
        <v>6</v>
      </c>
      <c r="B2">
        <v>1</v>
      </c>
      <c r="C2">
        <v>1</v>
      </c>
      <c r="D2" s="2" t="b">
        <v>1</v>
      </c>
      <c r="E2" s="2" t="b">
        <v>1</v>
      </c>
      <c r="F2">
        <v>0</v>
      </c>
    </row>
    <row r="3" spans="1:6" ht="15" customHeight="1" x14ac:dyDescent="0.25">
      <c r="A3" t="s">
        <v>6</v>
      </c>
      <c r="B3">
        <v>2</v>
      </c>
      <c r="C3">
        <v>1</v>
      </c>
      <c r="D3" s="2" t="b">
        <v>1</v>
      </c>
      <c r="E3" s="2" t="b">
        <v>1</v>
      </c>
      <c r="F3">
        <v>0</v>
      </c>
    </row>
    <row r="4" spans="1:6" ht="15" customHeight="1" x14ac:dyDescent="0.25">
      <c r="A4" t="s">
        <v>6</v>
      </c>
      <c r="B4">
        <v>3</v>
      </c>
      <c r="C4">
        <v>1</v>
      </c>
      <c r="D4" s="2" t="b">
        <v>1</v>
      </c>
      <c r="E4" s="2" t="b">
        <v>1</v>
      </c>
      <c r="F4">
        <v>0</v>
      </c>
    </row>
    <row r="5" spans="1:6" ht="15" customHeight="1" x14ac:dyDescent="0.25">
      <c r="A5" t="s">
        <v>7</v>
      </c>
      <c r="B5">
        <v>1</v>
      </c>
      <c r="C5">
        <v>1</v>
      </c>
      <c r="D5" s="2" t="b">
        <v>1</v>
      </c>
      <c r="E5" s="2" t="b">
        <v>1</v>
      </c>
      <c r="F5">
        <v>0</v>
      </c>
    </row>
    <row r="6" spans="1:6" ht="15" customHeight="1" x14ac:dyDescent="0.25">
      <c r="A6" t="s">
        <v>7</v>
      </c>
      <c r="B6">
        <v>2</v>
      </c>
      <c r="C6">
        <v>1</v>
      </c>
      <c r="D6" s="2" t="b">
        <v>1</v>
      </c>
      <c r="E6" s="2" t="b">
        <v>1</v>
      </c>
      <c r="F6">
        <v>0</v>
      </c>
    </row>
    <row r="7" spans="1:6" ht="15" customHeight="1" x14ac:dyDescent="0.25">
      <c r="A7" t="s">
        <v>7</v>
      </c>
      <c r="B7">
        <v>3</v>
      </c>
      <c r="C7">
        <v>1</v>
      </c>
      <c r="D7" s="2" t="b">
        <v>1</v>
      </c>
      <c r="E7" s="2" t="b">
        <v>1</v>
      </c>
      <c r="F7">
        <v>0</v>
      </c>
    </row>
    <row r="8" spans="1:6" ht="15" customHeight="1" x14ac:dyDescent="0.25">
      <c r="A8" t="s">
        <v>8</v>
      </c>
      <c r="B8">
        <v>1</v>
      </c>
      <c r="C8">
        <v>1</v>
      </c>
      <c r="D8" s="2" t="b">
        <v>1</v>
      </c>
      <c r="E8" s="2" t="b">
        <v>1</v>
      </c>
      <c r="F8">
        <v>0</v>
      </c>
    </row>
    <row r="9" spans="1:6" ht="15" customHeight="1" x14ac:dyDescent="0.25">
      <c r="A9" t="s">
        <v>8</v>
      </c>
      <c r="B9">
        <v>2</v>
      </c>
      <c r="C9">
        <v>1</v>
      </c>
      <c r="D9" s="2" t="b">
        <v>1</v>
      </c>
      <c r="E9" s="2" t="b">
        <v>1</v>
      </c>
      <c r="F9">
        <v>0</v>
      </c>
    </row>
    <row r="10" spans="1:6" ht="15" customHeight="1" x14ac:dyDescent="0.25">
      <c r="A10" t="s">
        <v>8</v>
      </c>
      <c r="B10">
        <v>3</v>
      </c>
      <c r="C10">
        <v>0.9</v>
      </c>
      <c r="D10" s="2" t="b">
        <v>0</v>
      </c>
      <c r="E10" s="2" t="b">
        <v>1</v>
      </c>
      <c r="F10">
        <v>0.3</v>
      </c>
    </row>
    <row r="11" spans="1:6" ht="15" customHeight="1" x14ac:dyDescent="0.25">
      <c r="A11" t="s">
        <v>9</v>
      </c>
      <c r="B11">
        <v>1</v>
      </c>
      <c r="C11">
        <v>1</v>
      </c>
      <c r="D11" s="2" t="b">
        <v>1</v>
      </c>
      <c r="E11" s="2" t="b">
        <v>1</v>
      </c>
      <c r="F11">
        <v>0</v>
      </c>
    </row>
    <row r="12" spans="1:6" ht="15" customHeight="1" x14ac:dyDescent="0.25">
      <c r="A12" s="1" t="s">
        <v>9</v>
      </c>
      <c r="B12">
        <v>2</v>
      </c>
      <c r="C12">
        <v>0.9</v>
      </c>
      <c r="D12" s="2" t="b">
        <v>0</v>
      </c>
      <c r="E12" s="2" t="b">
        <v>1</v>
      </c>
      <c r="F12">
        <v>0.3</v>
      </c>
    </row>
    <row r="13" spans="1:6" ht="15" customHeight="1" x14ac:dyDescent="0.25">
      <c r="A13" t="s">
        <v>9</v>
      </c>
      <c r="B13">
        <v>3</v>
      </c>
      <c r="C13">
        <v>0.9</v>
      </c>
      <c r="D13" s="2" t="b">
        <v>0</v>
      </c>
      <c r="E13" s="2" t="b">
        <v>1</v>
      </c>
      <c r="F13">
        <v>0.3</v>
      </c>
    </row>
    <row r="14" spans="1:6" ht="15" customHeight="1" x14ac:dyDescent="0.25">
      <c r="A14" t="s">
        <v>10</v>
      </c>
      <c r="B14">
        <v>1</v>
      </c>
      <c r="C14">
        <v>1</v>
      </c>
      <c r="D14" s="2" t="b">
        <v>1</v>
      </c>
      <c r="E14" s="2" t="b">
        <v>1</v>
      </c>
      <c r="F14">
        <v>0</v>
      </c>
    </row>
    <row r="15" spans="1:6" ht="15" customHeight="1" x14ac:dyDescent="0.25">
      <c r="A15" t="s">
        <v>10</v>
      </c>
      <c r="B15">
        <v>2</v>
      </c>
      <c r="C15">
        <v>1</v>
      </c>
      <c r="D15" s="2" t="b">
        <v>1</v>
      </c>
      <c r="E15" s="2" t="b">
        <v>1</v>
      </c>
      <c r="F15">
        <v>0</v>
      </c>
    </row>
    <row r="16" spans="1:6" ht="15" customHeight="1" x14ac:dyDescent="0.25">
      <c r="A16" t="s">
        <v>10</v>
      </c>
      <c r="B16">
        <v>3</v>
      </c>
      <c r="C16">
        <v>1</v>
      </c>
      <c r="D16" s="2" t="b">
        <v>1</v>
      </c>
      <c r="E16" s="2" t="b">
        <v>1</v>
      </c>
      <c r="F16">
        <v>0</v>
      </c>
    </row>
    <row r="17" spans="1:6" ht="15" customHeight="1" x14ac:dyDescent="0.25">
      <c r="A17" t="s">
        <v>11</v>
      </c>
      <c r="B17">
        <v>1</v>
      </c>
      <c r="C17">
        <v>1</v>
      </c>
      <c r="D17" s="2" t="b">
        <v>1</v>
      </c>
      <c r="E17" s="2" t="b">
        <v>1</v>
      </c>
      <c r="F17">
        <v>0</v>
      </c>
    </row>
    <row r="18" spans="1:6" ht="15" customHeight="1" x14ac:dyDescent="0.25">
      <c r="A18" t="s">
        <v>11</v>
      </c>
      <c r="B18">
        <v>2</v>
      </c>
      <c r="C18">
        <v>0.9</v>
      </c>
      <c r="D18" s="2" t="b">
        <v>0</v>
      </c>
      <c r="E18" s="2" t="b">
        <v>1</v>
      </c>
      <c r="F18">
        <v>0.3</v>
      </c>
    </row>
    <row r="19" spans="1:6" ht="15" customHeight="1" x14ac:dyDescent="0.25">
      <c r="A19" t="s">
        <v>11</v>
      </c>
      <c r="B19">
        <v>3</v>
      </c>
      <c r="C19">
        <v>0.9</v>
      </c>
      <c r="D19" s="2" t="b">
        <v>0</v>
      </c>
      <c r="E19" s="2" t="b">
        <v>1</v>
      </c>
      <c r="F19">
        <v>0.3</v>
      </c>
    </row>
    <row r="20" spans="1:6" ht="15" customHeight="1" x14ac:dyDescent="0.25">
      <c r="A20" s="1" t="s">
        <v>12</v>
      </c>
      <c r="B20">
        <v>1</v>
      </c>
      <c r="C20">
        <v>1</v>
      </c>
      <c r="D20" s="2" t="b">
        <v>1</v>
      </c>
      <c r="E20" s="2" t="b">
        <v>1</v>
      </c>
      <c r="F20">
        <v>0</v>
      </c>
    </row>
    <row r="21" spans="1:6" ht="15" customHeight="1" x14ac:dyDescent="0.25">
      <c r="A21" t="s">
        <v>12</v>
      </c>
      <c r="B21">
        <v>2</v>
      </c>
      <c r="C21">
        <v>1</v>
      </c>
      <c r="D21" s="2" t="b">
        <v>1</v>
      </c>
      <c r="E21" s="2" t="b">
        <v>1</v>
      </c>
      <c r="F21">
        <v>0</v>
      </c>
    </row>
    <row r="22" spans="1:6" ht="15" customHeight="1" x14ac:dyDescent="0.25">
      <c r="A22" t="s">
        <v>12</v>
      </c>
      <c r="B22">
        <v>3</v>
      </c>
      <c r="C22">
        <v>1</v>
      </c>
      <c r="D22" s="2" t="b">
        <v>1</v>
      </c>
      <c r="E22" s="2" t="b">
        <v>1</v>
      </c>
      <c r="F22">
        <v>0</v>
      </c>
    </row>
    <row r="23" spans="1:6" ht="15" customHeight="1" x14ac:dyDescent="0.25">
      <c r="A23" s="1" t="s">
        <v>13</v>
      </c>
      <c r="B23">
        <v>1</v>
      </c>
      <c r="C23">
        <v>1</v>
      </c>
      <c r="D23" s="2" t="b">
        <v>1</v>
      </c>
      <c r="E23" s="2" t="b">
        <v>1</v>
      </c>
      <c r="F23">
        <v>0</v>
      </c>
    </row>
    <row r="24" spans="1:6" ht="15" customHeight="1" x14ac:dyDescent="0.25">
      <c r="A24" t="s">
        <v>13</v>
      </c>
      <c r="B24">
        <v>2</v>
      </c>
      <c r="C24">
        <v>0.85</v>
      </c>
      <c r="D24" s="2" t="b">
        <v>0</v>
      </c>
      <c r="E24" s="2" t="b">
        <v>1</v>
      </c>
      <c r="F24">
        <v>0.35707142142714249</v>
      </c>
    </row>
    <row r="25" spans="1:6" ht="15" customHeight="1" x14ac:dyDescent="0.25">
      <c r="A25" t="s">
        <v>13</v>
      </c>
      <c r="B25">
        <v>3</v>
      </c>
      <c r="C25">
        <v>0.95</v>
      </c>
      <c r="D25" s="2" t="b">
        <v>0</v>
      </c>
      <c r="E25" s="2" t="b">
        <v>1</v>
      </c>
      <c r="F25">
        <v>0.21794494717703369</v>
      </c>
    </row>
    <row r="26" spans="1:6" ht="15" customHeight="1" x14ac:dyDescent="0.25">
      <c r="D26" s="2"/>
      <c r="E26" s="2"/>
    </row>
    <row r="27" spans="1:6" ht="15" customHeight="1" x14ac:dyDescent="0.25">
      <c r="D27" s="2"/>
      <c r="E27" s="2"/>
    </row>
    <row r="28" spans="1:6" ht="15" customHeight="1" x14ac:dyDescent="0.25">
      <c r="A28" s="4" t="s">
        <v>14</v>
      </c>
      <c r="D28" s="2"/>
      <c r="E28" s="2"/>
    </row>
    <row r="29" spans="1:6" ht="15" customHeight="1" x14ac:dyDescent="0.25">
      <c r="A29" t="s">
        <v>6</v>
      </c>
      <c r="C29">
        <v>1</v>
      </c>
      <c r="D29" s="2" t="b">
        <v>1</v>
      </c>
      <c r="E29" s="2" t="b">
        <v>1</v>
      </c>
      <c r="F29">
        <v>0</v>
      </c>
    </row>
    <row r="30" spans="1:6" ht="15" customHeight="1" x14ac:dyDescent="0.25">
      <c r="A30" t="s">
        <v>7</v>
      </c>
      <c r="C30">
        <v>1</v>
      </c>
      <c r="D30" s="2" t="b">
        <v>1</v>
      </c>
      <c r="E30" s="2" t="b">
        <v>1</v>
      </c>
      <c r="F30">
        <v>0</v>
      </c>
    </row>
    <row r="31" spans="1:6" ht="15" customHeight="1" x14ac:dyDescent="0.25">
      <c r="A31" s="1" t="s">
        <v>8</v>
      </c>
      <c r="C31">
        <v>0.96666666666666667</v>
      </c>
      <c r="D31" s="2" t="b">
        <v>0</v>
      </c>
      <c r="E31" s="2" t="b">
        <v>1</v>
      </c>
      <c r="F31">
        <v>0.17950549357115009</v>
      </c>
    </row>
    <row r="32" spans="1:6" ht="15" customHeight="1" x14ac:dyDescent="0.25">
      <c r="A32" t="s">
        <v>9</v>
      </c>
      <c r="C32">
        <v>0.93333333333333335</v>
      </c>
      <c r="D32" s="2" t="b">
        <v>0</v>
      </c>
      <c r="E32" s="2" t="b">
        <v>1</v>
      </c>
      <c r="F32">
        <v>0.24944382578492941</v>
      </c>
    </row>
    <row r="33" spans="1:21" ht="15" customHeight="1" x14ac:dyDescent="0.25">
      <c r="A33" t="s">
        <v>10</v>
      </c>
      <c r="C33">
        <v>1</v>
      </c>
      <c r="D33" s="2" t="b">
        <v>1</v>
      </c>
      <c r="E33" s="2" t="b">
        <v>1</v>
      </c>
      <c r="F33">
        <v>0</v>
      </c>
    </row>
    <row r="34" spans="1:21" ht="15" customHeight="1" x14ac:dyDescent="0.25">
      <c r="A34" t="s">
        <v>11</v>
      </c>
      <c r="C34">
        <v>0.93333333333333335</v>
      </c>
      <c r="D34" s="2" t="b">
        <v>0</v>
      </c>
      <c r="E34" s="2" t="b">
        <v>1</v>
      </c>
      <c r="F34">
        <v>0.24944382578492941</v>
      </c>
    </row>
    <row r="35" spans="1:21" ht="15" customHeight="1" x14ac:dyDescent="0.25">
      <c r="A35" s="1" t="s">
        <v>12</v>
      </c>
      <c r="C35">
        <v>1</v>
      </c>
      <c r="D35" s="2" t="b">
        <v>1</v>
      </c>
      <c r="E35" s="2" t="b">
        <v>1</v>
      </c>
      <c r="F35">
        <v>0</v>
      </c>
    </row>
    <row r="36" spans="1:21" ht="15" customHeight="1" x14ac:dyDescent="0.25">
      <c r="A36" s="1" t="s">
        <v>13</v>
      </c>
      <c r="C36">
        <v>0.93333333333333335</v>
      </c>
      <c r="D36" s="2" t="b">
        <v>0</v>
      </c>
      <c r="E36" s="2" t="b">
        <v>1</v>
      </c>
      <c r="F36">
        <v>0.24944382578492941</v>
      </c>
    </row>
    <row r="37" spans="1:21" ht="15" customHeight="1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 ht="15" customHeight="1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 ht="15" customHeight="1" x14ac:dyDescent="0.25">
      <c r="A39" s="4" t="s">
        <v>15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 ht="15" customHeight="1" x14ac:dyDescent="0.25">
      <c r="A40" t="s">
        <v>16</v>
      </c>
      <c r="B40" s="2">
        <v>1</v>
      </c>
      <c r="C40" s="2">
        <v>2</v>
      </c>
      <c r="D40" s="2">
        <v>3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 ht="15" customHeight="1" x14ac:dyDescent="0.25">
      <c r="A41" t="s">
        <v>6</v>
      </c>
      <c r="B41" s="2">
        <v>1</v>
      </c>
      <c r="C41" s="2">
        <v>1</v>
      </c>
      <c r="D41" s="2">
        <v>1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 ht="15" customHeight="1" x14ac:dyDescent="0.25">
      <c r="A42" t="s">
        <v>7</v>
      </c>
      <c r="B42" s="2">
        <v>1</v>
      </c>
      <c r="C42" s="2">
        <v>1</v>
      </c>
      <c r="D42" s="2">
        <v>1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 ht="15" customHeight="1" x14ac:dyDescent="0.25">
      <c r="A43" s="1" t="s">
        <v>8</v>
      </c>
      <c r="B43" s="2">
        <v>1</v>
      </c>
      <c r="C43" s="2">
        <v>1</v>
      </c>
      <c r="D43" s="2">
        <v>0.9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 ht="15" customHeight="1" x14ac:dyDescent="0.25">
      <c r="A44" t="s">
        <v>9</v>
      </c>
      <c r="B44" s="2">
        <v>1</v>
      </c>
      <c r="C44" s="2">
        <v>0.9</v>
      </c>
      <c r="D44" s="2">
        <v>0.9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 ht="15" customHeight="1" x14ac:dyDescent="0.25">
      <c r="A45" t="s">
        <v>10</v>
      </c>
      <c r="B45">
        <v>1</v>
      </c>
      <c r="C45">
        <v>1</v>
      </c>
      <c r="D45">
        <v>1</v>
      </c>
      <c r="E45" s="2"/>
      <c r="F45" s="2"/>
      <c r="G45" s="2"/>
      <c r="H45" s="2"/>
      <c r="I45" s="2"/>
      <c r="J45" s="2"/>
      <c r="K45" s="2"/>
    </row>
    <row r="46" spans="1:21" ht="15" customHeight="1" x14ac:dyDescent="0.25">
      <c r="A46" t="s">
        <v>11</v>
      </c>
      <c r="B46">
        <v>1</v>
      </c>
      <c r="C46">
        <v>0.9</v>
      </c>
      <c r="D46">
        <v>0.9</v>
      </c>
      <c r="E46" s="2"/>
      <c r="F46" s="2"/>
      <c r="G46" s="2"/>
      <c r="H46" s="2"/>
      <c r="I46" s="2"/>
      <c r="J46" s="2"/>
      <c r="K46" s="2"/>
    </row>
    <row r="47" spans="1:21" ht="15" customHeight="1" x14ac:dyDescent="0.25">
      <c r="A47" s="1" t="s">
        <v>12</v>
      </c>
      <c r="B47">
        <v>1</v>
      </c>
      <c r="C47">
        <v>1</v>
      </c>
      <c r="D47">
        <v>1</v>
      </c>
      <c r="E47" s="2"/>
      <c r="F47" s="2"/>
      <c r="G47" s="2"/>
      <c r="H47" s="2"/>
      <c r="I47" s="2"/>
      <c r="J47" s="2"/>
      <c r="K47" s="2"/>
    </row>
    <row r="48" spans="1:21" ht="15" customHeight="1" x14ac:dyDescent="0.25">
      <c r="A48" t="s">
        <v>13</v>
      </c>
      <c r="B48">
        <v>1</v>
      </c>
      <c r="C48">
        <v>0.85</v>
      </c>
      <c r="D48">
        <v>0.95</v>
      </c>
      <c r="E48" s="2"/>
      <c r="F48" s="2"/>
      <c r="G48" s="2"/>
      <c r="H48" s="2"/>
      <c r="I48" s="2"/>
      <c r="J48" s="2"/>
      <c r="K48" s="2"/>
    </row>
    <row r="49" spans="1:61" ht="15" customHeight="1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61" ht="15" customHeight="1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61" ht="15" customHeight="1" x14ac:dyDescent="0.25">
      <c r="A51" s="4" t="s">
        <v>17</v>
      </c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ht="15" customHeight="1" x14ac:dyDescent="0.25">
      <c r="A53" t="s">
        <v>6</v>
      </c>
      <c r="B53" s="2" t="b">
        <v>1</v>
      </c>
      <c r="C53" s="2" t="b">
        <v>1</v>
      </c>
      <c r="D53" s="2" t="b">
        <v>1</v>
      </c>
      <c r="E53" s="2" t="b">
        <v>1</v>
      </c>
      <c r="F53" s="2" t="b">
        <v>1</v>
      </c>
      <c r="G53" s="2" t="b">
        <v>1</v>
      </c>
      <c r="H53" s="2" t="b">
        <v>1</v>
      </c>
      <c r="I53" s="2" t="b">
        <v>1</v>
      </c>
      <c r="J53" s="2" t="b">
        <v>1</v>
      </c>
      <c r="K53" s="2" t="b">
        <v>1</v>
      </c>
      <c r="L53" s="2" t="b">
        <v>1</v>
      </c>
      <c r="M53" s="2" t="b">
        <v>1</v>
      </c>
      <c r="N53" s="2" t="b">
        <v>1</v>
      </c>
      <c r="O53" s="2" t="b">
        <v>1</v>
      </c>
      <c r="P53" s="2" t="b">
        <v>1</v>
      </c>
      <c r="Q53" s="2" t="b">
        <v>1</v>
      </c>
      <c r="R53" s="2" t="b">
        <v>1</v>
      </c>
      <c r="S53" s="2" t="b">
        <v>1</v>
      </c>
      <c r="T53" s="2" t="b">
        <v>1</v>
      </c>
      <c r="U53" s="2" t="b">
        <v>1</v>
      </c>
      <c r="V53" s="2" t="b">
        <v>1</v>
      </c>
      <c r="W53" s="2" t="b">
        <v>1</v>
      </c>
      <c r="X53" s="2" t="b">
        <v>1</v>
      </c>
      <c r="Y53" s="2" t="b">
        <v>1</v>
      </c>
      <c r="Z53" s="2" t="b">
        <v>1</v>
      </c>
      <c r="AA53" s="2" t="b">
        <v>1</v>
      </c>
      <c r="AB53" s="2" t="b">
        <v>1</v>
      </c>
      <c r="AC53" s="2" t="b">
        <v>1</v>
      </c>
      <c r="AD53" s="2" t="b">
        <v>1</v>
      </c>
      <c r="AE53" s="2" t="b">
        <v>1</v>
      </c>
      <c r="AF53" s="2" t="b">
        <v>1</v>
      </c>
      <c r="AG53" s="2" t="b">
        <v>1</v>
      </c>
      <c r="AH53" s="2" t="b">
        <v>1</v>
      </c>
      <c r="AI53" s="2" t="b">
        <v>1</v>
      </c>
      <c r="AJ53" s="2" t="b">
        <v>1</v>
      </c>
      <c r="AK53" s="2" t="b">
        <v>1</v>
      </c>
      <c r="AL53" s="2" t="b">
        <v>1</v>
      </c>
      <c r="AM53" s="2" t="b">
        <v>1</v>
      </c>
      <c r="AN53" s="2" t="b">
        <v>1</v>
      </c>
      <c r="AO53" s="2" t="b">
        <v>1</v>
      </c>
      <c r="AP53" s="2" t="b">
        <v>1</v>
      </c>
      <c r="AQ53" s="2" t="b">
        <v>1</v>
      </c>
      <c r="AR53" s="2" t="b">
        <v>1</v>
      </c>
      <c r="AS53" s="2" t="b">
        <v>1</v>
      </c>
      <c r="AT53" s="2" t="b">
        <v>1</v>
      </c>
      <c r="AU53" s="2" t="b">
        <v>1</v>
      </c>
      <c r="AV53" s="2" t="b">
        <v>1</v>
      </c>
      <c r="AW53" s="2" t="b">
        <v>1</v>
      </c>
      <c r="AX53" s="2" t="b">
        <v>1</v>
      </c>
      <c r="AY53" s="2" t="b">
        <v>1</v>
      </c>
      <c r="AZ53" s="2" t="b">
        <v>1</v>
      </c>
      <c r="BA53" s="2" t="b">
        <v>1</v>
      </c>
      <c r="BB53" s="2" t="b">
        <v>1</v>
      </c>
      <c r="BC53" s="2" t="b">
        <v>1</v>
      </c>
      <c r="BD53" s="2" t="b">
        <v>1</v>
      </c>
      <c r="BE53" s="2" t="b">
        <v>1</v>
      </c>
      <c r="BF53" s="2" t="b">
        <v>1</v>
      </c>
      <c r="BG53" s="2" t="b">
        <v>1</v>
      </c>
      <c r="BH53" s="2" t="b">
        <v>1</v>
      </c>
      <c r="BI53" s="2" t="b">
        <v>1</v>
      </c>
    </row>
    <row r="54" spans="1:61" ht="15" customHeight="1" x14ac:dyDescent="0.25">
      <c r="A54" t="s">
        <v>7</v>
      </c>
      <c r="B54" s="2" t="b">
        <v>1</v>
      </c>
      <c r="C54" s="2" t="b">
        <v>1</v>
      </c>
      <c r="D54" s="2" t="b">
        <v>1</v>
      </c>
      <c r="E54" s="2" t="b">
        <v>1</v>
      </c>
      <c r="F54" s="2" t="b">
        <v>1</v>
      </c>
      <c r="G54" s="2" t="b">
        <v>1</v>
      </c>
      <c r="H54" s="2" t="b">
        <v>1</v>
      </c>
      <c r="I54" s="2" t="b">
        <v>1</v>
      </c>
      <c r="J54" s="2" t="b">
        <v>1</v>
      </c>
      <c r="K54" s="2" t="b">
        <v>1</v>
      </c>
      <c r="L54" s="2" t="b">
        <v>1</v>
      </c>
      <c r="M54" s="2" t="b">
        <v>1</v>
      </c>
      <c r="N54" s="2" t="b">
        <v>1</v>
      </c>
      <c r="O54" s="2" t="b">
        <v>1</v>
      </c>
      <c r="P54" s="2" t="b">
        <v>1</v>
      </c>
      <c r="Q54" s="2" t="b">
        <v>1</v>
      </c>
      <c r="R54" s="2" t="b">
        <v>1</v>
      </c>
      <c r="S54" s="2" t="b">
        <v>1</v>
      </c>
      <c r="T54" s="2" t="b">
        <v>1</v>
      </c>
      <c r="U54" s="2" t="b">
        <v>1</v>
      </c>
      <c r="V54" s="2" t="b">
        <v>1</v>
      </c>
      <c r="W54" s="2" t="b">
        <v>1</v>
      </c>
      <c r="X54" s="2" t="b">
        <v>1</v>
      </c>
      <c r="Y54" s="2" t="b">
        <v>1</v>
      </c>
      <c r="Z54" s="2" t="b">
        <v>1</v>
      </c>
      <c r="AA54" s="2" t="b">
        <v>1</v>
      </c>
      <c r="AB54" s="2" t="b">
        <v>1</v>
      </c>
      <c r="AC54" s="2" t="b">
        <v>1</v>
      </c>
      <c r="AD54" s="2" t="b">
        <v>1</v>
      </c>
      <c r="AE54" s="2" t="b">
        <v>1</v>
      </c>
      <c r="AF54" s="2" t="b">
        <v>1</v>
      </c>
      <c r="AG54" s="2" t="b">
        <v>1</v>
      </c>
      <c r="AH54" s="2" t="b">
        <v>1</v>
      </c>
      <c r="AI54" s="2" t="b">
        <v>1</v>
      </c>
      <c r="AJ54" s="2" t="b">
        <v>1</v>
      </c>
      <c r="AK54" s="2" t="b">
        <v>1</v>
      </c>
      <c r="AL54" s="2" t="b">
        <v>1</v>
      </c>
      <c r="AM54" s="2" t="b">
        <v>1</v>
      </c>
      <c r="AN54" s="2" t="b">
        <v>1</v>
      </c>
      <c r="AO54" s="2" t="b">
        <v>1</v>
      </c>
      <c r="AP54" s="2" t="b">
        <v>1</v>
      </c>
      <c r="AQ54" s="2" t="b">
        <v>1</v>
      </c>
      <c r="AR54" s="2" t="b">
        <v>1</v>
      </c>
      <c r="AS54" s="2" t="b">
        <v>1</v>
      </c>
      <c r="AT54" s="2" t="b">
        <v>1</v>
      </c>
      <c r="AU54" s="2" t="b">
        <v>1</v>
      </c>
      <c r="AV54" s="2" t="b">
        <v>1</v>
      </c>
      <c r="AW54" s="2" t="b">
        <v>1</v>
      </c>
      <c r="AX54" s="2" t="b">
        <v>1</v>
      </c>
      <c r="AY54" s="2" t="b">
        <v>1</v>
      </c>
      <c r="AZ54" s="2" t="b">
        <v>1</v>
      </c>
      <c r="BA54" s="2" t="b">
        <v>1</v>
      </c>
      <c r="BB54" s="2" t="b">
        <v>1</v>
      </c>
      <c r="BC54" s="2" t="b">
        <v>1</v>
      </c>
      <c r="BD54" s="2" t="b">
        <v>1</v>
      </c>
      <c r="BE54" s="2" t="b">
        <v>1</v>
      </c>
      <c r="BF54" s="2" t="b">
        <v>1</v>
      </c>
      <c r="BG54" s="2" t="b">
        <v>1</v>
      </c>
      <c r="BH54" s="2" t="b">
        <v>1</v>
      </c>
      <c r="BI54" s="2" t="b">
        <v>1</v>
      </c>
    </row>
    <row r="55" spans="1:61" ht="15" customHeight="1" x14ac:dyDescent="0.25">
      <c r="A55" t="s">
        <v>8</v>
      </c>
      <c r="B55" s="2" t="b">
        <v>1</v>
      </c>
      <c r="C55" s="2" t="b">
        <v>1</v>
      </c>
      <c r="D55" s="2" t="b">
        <v>1</v>
      </c>
      <c r="E55" s="2" t="b">
        <v>1</v>
      </c>
      <c r="F55" s="2" t="b">
        <v>1</v>
      </c>
      <c r="G55" s="2" t="b">
        <v>1</v>
      </c>
      <c r="H55" s="2" t="b">
        <v>1</v>
      </c>
      <c r="I55" s="2" t="b">
        <v>1</v>
      </c>
      <c r="J55" s="2" t="b">
        <v>1</v>
      </c>
      <c r="K55" s="2" t="b">
        <v>1</v>
      </c>
      <c r="L55" s="2" t="b">
        <v>1</v>
      </c>
      <c r="M55" s="2" t="b">
        <v>1</v>
      </c>
      <c r="N55" s="2" t="b">
        <v>1</v>
      </c>
      <c r="O55" s="2" t="b">
        <v>1</v>
      </c>
      <c r="P55" s="2" t="b">
        <v>1</v>
      </c>
      <c r="Q55" s="2" t="b">
        <v>1</v>
      </c>
      <c r="R55" s="2" t="b">
        <v>1</v>
      </c>
      <c r="S55" s="2" t="b">
        <v>1</v>
      </c>
      <c r="T55" s="2" t="b">
        <v>1</v>
      </c>
      <c r="U55" s="2" t="b">
        <v>1</v>
      </c>
      <c r="V55" s="2" t="b">
        <v>1</v>
      </c>
      <c r="W55" s="2" t="b">
        <v>1</v>
      </c>
      <c r="X55" s="2" t="b">
        <v>1</v>
      </c>
      <c r="Y55" s="2" t="b">
        <v>1</v>
      </c>
      <c r="Z55" s="2" t="b">
        <v>1</v>
      </c>
      <c r="AA55" s="2" t="b">
        <v>1</v>
      </c>
      <c r="AB55" s="2" t="b">
        <v>1</v>
      </c>
      <c r="AC55" s="2" t="b">
        <v>1</v>
      </c>
      <c r="AD55" s="2" t="b">
        <v>1</v>
      </c>
      <c r="AE55" s="2" t="b">
        <v>1</v>
      </c>
      <c r="AF55" s="2" t="b">
        <v>1</v>
      </c>
      <c r="AG55" s="2" t="b">
        <v>1</v>
      </c>
      <c r="AH55" s="2" t="b">
        <v>1</v>
      </c>
      <c r="AI55" s="2" t="b">
        <v>1</v>
      </c>
      <c r="AJ55" s="2" t="b">
        <v>1</v>
      </c>
      <c r="AK55" s="2" t="b">
        <v>1</v>
      </c>
      <c r="AL55" s="2" t="b">
        <v>1</v>
      </c>
      <c r="AM55" s="2" t="b">
        <v>1</v>
      </c>
      <c r="AN55" s="2" t="b">
        <v>1</v>
      </c>
      <c r="AO55" s="2" t="b">
        <v>1</v>
      </c>
      <c r="AP55" s="2" t="b">
        <v>1</v>
      </c>
      <c r="AQ55" s="2" t="b">
        <v>1</v>
      </c>
      <c r="AR55" s="2" t="b">
        <v>1</v>
      </c>
      <c r="AS55" s="2" t="b">
        <v>1</v>
      </c>
      <c r="AT55" s="2" t="b">
        <v>1</v>
      </c>
      <c r="AU55" s="2" t="b">
        <v>1</v>
      </c>
      <c r="AV55" s="2" t="b">
        <v>1</v>
      </c>
      <c r="AW55" s="2" t="b">
        <v>0</v>
      </c>
      <c r="AX55" s="2" t="b">
        <v>1</v>
      </c>
      <c r="AY55" s="2" t="b">
        <v>1</v>
      </c>
      <c r="AZ55" s="2" t="b">
        <v>1</v>
      </c>
      <c r="BA55" s="2" t="b">
        <v>1</v>
      </c>
      <c r="BB55" s="2" t="b">
        <v>0</v>
      </c>
      <c r="BC55" s="2" t="b">
        <v>1</v>
      </c>
      <c r="BD55" s="2" t="b">
        <v>1</v>
      </c>
      <c r="BE55" s="2" t="b">
        <v>1</v>
      </c>
      <c r="BF55" s="2" t="b">
        <v>1</v>
      </c>
      <c r="BG55" s="2" t="b">
        <v>1</v>
      </c>
      <c r="BH55" s="2" t="b">
        <v>1</v>
      </c>
      <c r="BI55" s="2" t="b">
        <v>1</v>
      </c>
    </row>
    <row r="56" spans="1:61" ht="15" customHeight="1" x14ac:dyDescent="0.25">
      <c r="A56" t="s">
        <v>9</v>
      </c>
      <c r="B56" s="2" t="b">
        <v>1</v>
      </c>
      <c r="C56" s="2" t="b">
        <v>1</v>
      </c>
      <c r="D56" s="2" t="b">
        <v>1</v>
      </c>
      <c r="E56" s="2" t="b">
        <v>1</v>
      </c>
      <c r="F56" s="2" t="b">
        <v>1</v>
      </c>
      <c r="G56" s="2" t="b">
        <v>1</v>
      </c>
      <c r="H56" s="2" t="b">
        <v>1</v>
      </c>
      <c r="I56" s="2" t="b">
        <v>1</v>
      </c>
      <c r="J56" s="2" t="b">
        <v>1</v>
      </c>
      <c r="K56" s="2" t="b">
        <v>1</v>
      </c>
      <c r="L56" s="2" t="b">
        <v>1</v>
      </c>
      <c r="M56" s="2" t="b">
        <v>1</v>
      </c>
      <c r="N56" s="2" t="b">
        <v>1</v>
      </c>
      <c r="O56" s="2" t="b">
        <v>1</v>
      </c>
      <c r="P56" s="2" t="b">
        <v>1</v>
      </c>
      <c r="Q56" s="2" t="b">
        <v>1</v>
      </c>
      <c r="R56" s="2" t="b">
        <v>1</v>
      </c>
      <c r="S56" s="2" t="b">
        <v>1</v>
      </c>
      <c r="T56" s="2" t="b">
        <v>1</v>
      </c>
      <c r="U56" s="2" t="b">
        <v>1</v>
      </c>
      <c r="V56" s="2" t="b">
        <v>1</v>
      </c>
      <c r="W56" s="2" t="b">
        <v>1</v>
      </c>
      <c r="X56" s="2" t="b">
        <v>1</v>
      </c>
      <c r="Y56" s="2" t="b">
        <v>0</v>
      </c>
      <c r="Z56" s="2" t="b">
        <v>1</v>
      </c>
      <c r="AA56" s="2" t="b">
        <v>1</v>
      </c>
      <c r="AB56" s="2" t="b">
        <v>1</v>
      </c>
      <c r="AC56" s="2" t="b">
        <v>1</v>
      </c>
      <c r="AD56" s="2" t="b">
        <v>1</v>
      </c>
      <c r="AE56" s="2" t="b">
        <v>1</v>
      </c>
      <c r="AF56" s="2" t="b">
        <v>1</v>
      </c>
      <c r="AG56" s="2" t="b">
        <v>0</v>
      </c>
      <c r="AH56" s="2" t="b">
        <v>1</v>
      </c>
      <c r="AI56" s="2" t="b">
        <v>1</v>
      </c>
      <c r="AJ56" s="2" t="b">
        <v>1</v>
      </c>
      <c r="AK56" s="2" t="b">
        <v>1</v>
      </c>
      <c r="AL56" s="2" t="b">
        <v>1</v>
      </c>
      <c r="AM56" s="2" t="b">
        <v>1</v>
      </c>
      <c r="AN56" s="2" t="b">
        <v>1</v>
      </c>
      <c r="AO56" s="2" t="b">
        <v>1</v>
      </c>
      <c r="AP56" s="2" t="b">
        <v>1</v>
      </c>
      <c r="AQ56" s="2" t="b">
        <v>1</v>
      </c>
      <c r="AR56" s="2" t="b">
        <v>1</v>
      </c>
      <c r="AS56" s="2" t="b">
        <v>1</v>
      </c>
      <c r="AT56" s="2" t="b">
        <v>1</v>
      </c>
      <c r="AU56" s="2" t="b">
        <v>1</v>
      </c>
      <c r="AV56" s="2" t="b">
        <v>1</v>
      </c>
      <c r="AW56" s="2" t="b">
        <v>1</v>
      </c>
      <c r="AX56" s="2" t="b">
        <v>0</v>
      </c>
      <c r="AY56" s="2" t="b">
        <v>1</v>
      </c>
      <c r="AZ56" s="2" t="b">
        <v>1</v>
      </c>
      <c r="BA56" s="2" t="b">
        <v>1</v>
      </c>
      <c r="BB56" s="2" t="b">
        <v>1</v>
      </c>
      <c r="BC56" s="2" t="b">
        <v>1</v>
      </c>
      <c r="BD56" s="2" t="b">
        <v>1</v>
      </c>
      <c r="BE56" s="2" t="b">
        <v>1</v>
      </c>
      <c r="BF56" s="2" t="b">
        <v>1</v>
      </c>
      <c r="BG56" s="2" t="b">
        <v>1</v>
      </c>
      <c r="BH56" s="2" t="b">
        <v>0</v>
      </c>
      <c r="BI56" s="2" t="b">
        <v>1</v>
      </c>
    </row>
    <row r="57" spans="1:61" ht="15" customHeight="1" x14ac:dyDescent="0.25">
      <c r="A57" t="s">
        <v>10</v>
      </c>
      <c r="B57" s="2" t="b">
        <v>1</v>
      </c>
      <c r="C57" s="2" t="b">
        <v>1</v>
      </c>
      <c r="D57" s="2" t="b">
        <v>1</v>
      </c>
      <c r="E57" s="2" t="b">
        <v>1</v>
      </c>
      <c r="F57" s="2" t="b">
        <v>1</v>
      </c>
      <c r="G57" s="2" t="b">
        <v>1</v>
      </c>
      <c r="H57" s="2" t="b">
        <v>1</v>
      </c>
      <c r="I57" s="2" t="b">
        <v>1</v>
      </c>
      <c r="J57" s="2" t="b">
        <v>1</v>
      </c>
      <c r="K57" s="2" t="b">
        <v>1</v>
      </c>
      <c r="L57" s="2" t="b">
        <v>1</v>
      </c>
      <c r="M57" s="2" t="b">
        <v>1</v>
      </c>
      <c r="N57" s="2" t="b">
        <v>1</v>
      </c>
      <c r="O57" s="2" t="b">
        <v>1</v>
      </c>
      <c r="P57" s="2" t="b">
        <v>1</v>
      </c>
      <c r="Q57" s="2" t="b">
        <v>1</v>
      </c>
      <c r="R57" s="2" t="b">
        <v>1</v>
      </c>
      <c r="S57" s="2" t="b">
        <v>1</v>
      </c>
      <c r="T57" s="2" t="b">
        <v>1</v>
      </c>
      <c r="U57" s="2" t="b">
        <v>1</v>
      </c>
      <c r="V57" s="2" t="b">
        <v>1</v>
      </c>
      <c r="W57" s="2" t="b">
        <v>1</v>
      </c>
      <c r="X57" s="2" t="b">
        <v>1</v>
      </c>
      <c r="Y57" s="2" t="b">
        <v>1</v>
      </c>
      <c r="Z57" s="2" t="b">
        <v>1</v>
      </c>
      <c r="AA57" s="2" t="b">
        <v>1</v>
      </c>
      <c r="AB57" s="2" t="b">
        <v>1</v>
      </c>
      <c r="AC57" s="2" t="b">
        <v>1</v>
      </c>
      <c r="AD57" s="2" t="b">
        <v>1</v>
      </c>
      <c r="AE57" s="2" t="b">
        <v>1</v>
      </c>
      <c r="AF57" s="2" t="b">
        <v>1</v>
      </c>
      <c r="AG57" s="2" t="b">
        <v>1</v>
      </c>
      <c r="AH57" s="2" t="b">
        <v>1</v>
      </c>
      <c r="AI57" s="2" t="b">
        <v>1</v>
      </c>
      <c r="AJ57" s="2" t="b">
        <v>1</v>
      </c>
      <c r="AK57" s="2" t="b">
        <v>1</v>
      </c>
      <c r="AL57" s="2" t="b">
        <v>1</v>
      </c>
      <c r="AM57" s="2" t="b">
        <v>1</v>
      </c>
      <c r="AN57" s="2" t="b">
        <v>1</v>
      </c>
      <c r="AO57" s="2" t="b">
        <v>1</v>
      </c>
      <c r="AP57" s="2" t="b">
        <v>1</v>
      </c>
      <c r="AQ57" s="2" t="b">
        <v>1</v>
      </c>
      <c r="AR57" s="2" t="b">
        <v>1</v>
      </c>
      <c r="AS57" s="2" t="b">
        <v>1</v>
      </c>
      <c r="AT57" s="2" t="b">
        <v>1</v>
      </c>
      <c r="AU57" s="2" t="b">
        <v>1</v>
      </c>
      <c r="AV57" s="2" t="b">
        <v>1</v>
      </c>
      <c r="AW57" s="2" t="b">
        <v>1</v>
      </c>
      <c r="AX57" s="2" t="b">
        <v>1</v>
      </c>
      <c r="AY57" s="2" t="b">
        <v>1</v>
      </c>
      <c r="AZ57" s="2" t="b">
        <v>1</v>
      </c>
      <c r="BA57" s="2" t="b">
        <v>1</v>
      </c>
      <c r="BB57" s="2" t="b">
        <v>1</v>
      </c>
      <c r="BC57" s="2" t="b">
        <v>1</v>
      </c>
      <c r="BD57" s="2" t="b">
        <v>1</v>
      </c>
      <c r="BE57" s="2" t="b">
        <v>1</v>
      </c>
      <c r="BF57" s="2" t="b">
        <v>1</v>
      </c>
      <c r="BG57" s="2" t="b">
        <v>1</v>
      </c>
      <c r="BH57" s="2" t="b">
        <v>1</v>
      </c>
      <c r="BI57" s="2" t="b">
        <v>1</v>
      </c>
    </row>
    <row r="58" spans="1:61" ht="15" customHeight="1" x14ac:dyDescent="0.25">
      <c r="A58" t="s">
        <v>11</v>
      </c>
      <c r="B58" s="2" t="b">
        <v>1</v>
      </c>
      <c r="C58" s="2" t="b">
        <v>1</v>
      </c>
      <c r="D58" s="2" t="b">
        <v>1</v>
      </c>
      <c r="E58" s="2" t="b">
        <v>1</v>
      </c>
      <c r="F58" s="2" t="b">
        <v>1</v>
      </c>
      <c r="G58" s="2" t="b">
        <v>1</v>
      </c>
      <c r="H58" s="2" t="b">
        <v>1</v>
      </c>
      <c r="I58" s="2" t="b">
        <v>1</v>
      </c>
      <c r="J58" s="2" t="b">
        <v>1</v>
      </c>
      <c r="K58" s="2" t="b">
        <v>1</v>
      </c>
      <c r="L58" s="2" t="b">
        <v>1</v>
      </c>
      <c r="M58" s="2" t="b">
        <v>1</v>
      </c>
      <c r="N58" s="2" t="b">
        <v>1</v>
      </c>
      <c r="O58" s="2" t="b">
        <v>1</v>
      </c>
      <c r="P58" s="2" t="b">
        <v>1</v>
      </c>
      <c r="Q58" s="2" t="b">
        <v>1</v>
      </c>
      <c r="R58" s="2" t="b">
        <v>1</v>
      </c>
      <c r="S58" s="2" t="b">
        <v>1</v>
      </c>
      <c r="T58" s="2" t="b">
        <v>1</v>
      </c>
      <c r="U58" s="2" t="b">
        <v>1</v>
      </c>
      <c r="V58" s="2" t="b">
        <v>1</v>
      </c>
      <c r="W58" s="2" t="b">
        <v>1</v>
      </c>
      <c r="X58" s="2" t="b">
        <v>1</v>
      </c>
      <c r="Y58" s="2" t="b">
        <v>1</v>
      </c>
      <c r="Z58" s="2" t="b">
        <v>1</v>
      </c>
      <c r="AA58" s="2" t="b">
        <v>1</v>
      </c>
      <c r="AB58" s="2" t="b">
        <v>1</v>
      </c>
      <c r="AC58" s="2" t="b">
        <v>0</v>
      </c>
      <c r="AD58" s="2" t="b">
        <v>1</v>
      </c>
      <c r="AE58" s="2" t="b">
        <v>0</v>
      </c>
      <c r="AF58" s="2" t="b">
        <v>1</v>
      </c>
      <c r="AG58" s="2" t="b">
        <v>1</v>
      </c>
      <c r="AH58" s="2" t="b">
        <v>1</v>
      </c>
      <c r="AI58" s="2" t="b">
        <v>1</v>
      </c>
      <c r="AJ58" s="2" t="b">
        <v>1</v>
      </c>
      <c r="AK58" s="2" t="b">
        <v>1</v>
      </c>
      <c r="AL58" s="2" t="b">
        <v>1</v>
      </c>
      <c r="AM58" s="2" t="b">
        <v>1</v>
      </c>
      <c r="AN58" s="2" t="b">
        <v>1</v>
      </c>
      <c r="AO58" s="2" t="b">
        <v>1</v>
      </c>
      <c r="AP58" s="2" t="b">
        <v>1</v>
      </c>
      <c r="AQ58" s="2" t="b">
        <v>1</v>
      </c>
      <c r="AR58" s="2" t="b">
        <v>1</v>
      </c>
      <c r="AS58" s="2" t="b">
        <v>1</v>
      </c>
      <c r="AT58" s="2" t="b">
        <v>1</v>
      </c>
      <c r="AU58" s="2" t="b">
        <v>1</v>
      </c>
      <c r="AV58" s="2" t="b">
        <v>1</v>
      </c>
      <c r="AW58" s="2" t="b">
        <v>1</v>
      </c>
      <c r="AX58" s="2" t="b">
        <v>1</v>
      </c>
      <c r="AY58" s="2" t="b">
        <v>1</v>
      </c>
      <c r="AZ58" s="2" t="b">
        <v>0</v>
      </c>
      <c r="BA58" s="2" t="b">
        <v>1</v>
      </c>
      <c r="BB58" s="2" t="b">
        <v>1</v>
      </c>
      <c r="BC58" s="2" t="b">
        <v>0</v>
      </c>
      <c r="BD58" s="2" t="b">
        <v>1</v>
      </c>
      <c r="BE58" s="2" t="b">
        <v>1</v>
      </c>
      <c r="BF58" s="2" t="b">
        <v>1</v>
      </c>
      <c r="BG58" s="2" t="b">
        <v>1</v>
      </c>
      <c r="BH58" s="2" t="b">
        <v>1</v>
      </c>
      <c r="BI58" s="2" t="b">
        <v>1</v>
      </c>
    </row>
    <row r="59" spans="1:61" ht="15" customHeight="1" x14ac:dyDescent="0.25">
      <c r="A59" s="1" t="s">
        <v>12</v>
      </c>
      <c r="B59" s="2" t="b">
        <v>1</v>
      </c>
      <c r="C59" s="2" t="b">
        <v>1</v>
      </c>
      <c r="D59" s="2" t="b">
        <v>1</v>
      </c>
      <c r="E59" s="2" t="b">
        <v>1</v>
      </c>
      <c r="F59" s="2" t="b">
        <v>1</v>
      </c>
      <c r="G59" s="2" t="b">
        <v>1</v>
      </c>
      <c r="H59" s="2" t="b">
        <v>1</v>
      </c>
      <c r="I59" s="2" t="b">
        <v>1</v>
      </c>
      <c r="J59" s="2" t="b">
        <v>1</v>
      </c>
      <c r="K59" s="2" t="b">
        <v>1</v>
      </c>
      <c r="L59" s="2" t="b">
        <v>1</v>
      </c>
      <c r="M59" s="2" t="b">
        <v>1</v>
      </c>
      <c r="N59" s="2" t="b">
        <v>1</v>
      </c>
      <c r="O59" s="2" t="b">
        <v>1</v>
      </c>
      <c r="P59" s="2" t="b">
        <v>1</v>
      </c>
      <c r="Q59" s="2" t="b">
        <v>1</v>
      </c>
      <c r="R59" s="2" t="b">
        <v>1</v>
      </c>
      <c r="S59" s="2" t="b">
        <v>1</v>
      </c>
      <c r="T59" s="2" t="b">
        <v>1</v>
      </c>
      <c r="U59" s="2" t="b">
        <v>1</v>
      </c>
      <c r="V59" s="2" t="b">
        <v>1</v>
      </c>
      <c r="W59" s="2" t="b">
        <v>1</v>
      </c>
      <c r="X59" s="2" t="b">
        <v>1</v>
      </c>
      <c r="Y59" s="2" t="b">
        <v>1</v>
      </c>
      <c r="Z59" s="2" t="b">
        <v>1</v>
      </c>
      <c r="AA59" s="2" t="b">
        <v>1</v>
      </c>
      <c r="AB59" s="2" t="b">
        <v>1</v>
      </c>
      <c r="AC59" s="2" t="b">
        <v>1</v>
      </c>
      <c r="AD59" s="2" t="b">
        <v>1</v>
      </c>
      <c r="AE59" s="2" t="b">
        <v>1</v>
      </c>
      <c r="AF59" s="2" t="b">
        <v>1</v>
      </c>
      <c r="AG59" s="2" t="b">
        <v>1</v>
      </c>
      <c r="AH59" s="2" t="b">
        <v>1</v>
      </c>
      <c r="AI59" s="2" t="b">
        <v>1</v>
      </c>
      <c r="AJ59" s="2" t="b">
        <v>1</v>
      </c>
      <c r="AK59" s="2" t="b">
        <v>1</v>
      </c>
      <c r="AL59" s="2" t="b">
        <v>1</v>
      </c>
      <c r="AM59" s="2" t="b">
        <v>1</v>
      </c>
      <c r="AN59" s="2" t="b">
        <v>1</v>
      </c>
      <c r="AO59" s="2" t="b">
        <v>1</v>
      </c>
      <c r="AP59" s="2" t="b">
        <v>1</v>
      </c>
      <c r="AQ59" s="2" t="b">
        <v>1</v>
      </c>
      <c r="AR59" s="2" t="b">
        <v>1</v>
      </c>
      <c r="AS59" s="2" t="b">
        <v>1</v>
      </c>
      <c r="AT59" s="2" t="b">
        <v>1</v>
      </c>
      <c r="AU59" s="2" t="b">
        <v>1</v>
      </c>
      <c r="AV59" s="2" t="b">
        <v>1</v>
      </c>
      <c r="AW59" s="2" t="b">
        <v>1</v>
      </c>
      <c r="AX59" s="2" t="b">
        <v>1</v>
      </c>
      <c r="AY59" s="2" t="b">
        <v>1</v>
      </c>
      <c r="AZ59" s="2" t="b">
        <v>1</v>
      </c>
      <c r="BA59" s="2" t="b">
        <v>1</v>
      </c>
      <c r="BB59" s="2" t="b">
        <v>1</v>
      </c>
      <c r="BC59" s="2" t="b">
        <v>1</v>
      </c>
      <c r="BD59" s="2" t="b">
        <v>1</v>
      </c>
      <c r="BE59" s="2" t="b">
        <v>1</v>
      </c>
      <c r="BF59" s="2" t="b">
        <v>1</v>
      </c>
      <c r="BG59" s="2" t="b">
        <v>1</v>
      </c>
      <c r="BH59" s="2" t="b">
        <v>1</v>
      </c>
      <c r="BI59" s="2" t="b">
        <v>1</v>
      </c>
    </row>
    <row r="60" spans="1:61" ht="15" customHeight="1" x14ac:dyDescent="0.25">
      <c r="A60" t="s">
        <v>13</v>
      </c>
      <c r="B60" s="2" t="b">
        <v>1</v>
      </c>
      <c r="C60" s="2" t="b">
        <v>1</v>
      </c>
      <c r="D60" s="2" t="b">
        <v>1</v>
      </c>
      <c r="E60" s="2" t="b">
        <v>1</v>
      </c>
      <c r="F60" s="2" t="b">
        <v>1</v>
      </c>
      <c r="G60" s="2" t="b">
        <v>1</v>
      </c>
      <c r="H60" s="2" t="b">
        <v>1</v>
      </c>
      <c r="I60" s="2" t="b">
        <v>1</v>
      </c>
      <c r="J60" s="2" t="b">
        <v>1</v>
      </c>
      <c r="K60" s="2" t="b">
        <v>1</v>
      </c>
      <c r="L60" s="2" t="b">
        <v>1</v>
      </c>
      <c r="M60" s="2" t="b">
        <v>1</v>
      </c>
      <c r="N60" s="2" t="b">
        <v>1</v>
      </c>
      <c r="O60" s="2" t="b">
        <v>1</v>
      </c>
      <c r="P60" s="2" t="b">
        <v>1</v>
      </c>
      <c r="Q60" s="2" t="b">
        <v>1</v>
      </c>
      <c r="R60" s="2" t="b">
        <v>1</v>
      </c>
      <c r="S60" s="2" t="b">
        <v>1</v>
      </c>
      <c r="T60" s="2" t="b">
        <v>1</v>
      </c>
      <c r="U60" s="2" t="b">
        <v>1</v>
      </c>
      <c r="V60" s="2" t="b">
        <v>1</v>
      </c>
      <c r="W60" s="2" t="b">
        <v>1</v>
      </c>
      <c r="X60" s="2" t="b">
        <v>1</v>
      </c>
      <c r="Y60" s="2" t="b">
        <v>1</v>
      </c>
      <c r="Z60" s="2" t="b">
        <v>1</v>
      </c>
      <c r="AA60" s="2" t="b">
        <v>0</v>
      </c>
      <c r="AB60" s="2" t="b">
        <v>1</v>
      </c>
      <c r="AC60" s="2" t="b">
        <v>0</v>
      </c>
      <c r="AD60" s="2" t="b">
        <v>1</v>
      </c>
      <c r="AE60" s="2" t="b">
        <v>0</v>
      </c>
      <c r="AF60" s="2" t="b">
        <v>1</v>
      </c>
      <c r="AG60" s="2" t="b">
        <v>1</v>
      </c>
      <c r="AH60" s="2" t="b">
        <v>1</v>
      </c>
      <c r="AI60" s="2" t="b">
        <v>1</v>
      </c>
      <c r="AJ60" s="2" t="b">
        <v>1</v>
      </c>
      <c r="AK60" s="2" t="b">
        <v>1</v>
      </c>
      <c r="AL60" s="2" t="b">
        <v>1</v>
      </c>
      <c r="AM60" s="2" t="b">
        <v>1</v>
      </c>
      <c r="AN60" s="2" t="b">
        <v>1</v>
      </c>
      <c r="AO60" s="2" t="b">
        <v>1</v>
      </c>
      <c r="AP60" s="2" t="b">
        <v>1</v>
      </c>
      <c r="AQ60" s="2" t="b">
        <v>1</v>
      </c>
      <c r="AR60" s="2" t="b">
        <v>1</v>
      </c>
      <c r="AS60" s="2" t="b">
        <v>1</v>
      </c>
      <c r="AT60" s="2" t="b">
        <v>1</v>
      </c>
      <c r="AU60" s="2" t="b">
        <v>1</v>
      </c>
      <c r="AV60" s="2" t="b">
        <v>1</v>
      </c>
      <c r="AW60" s="2" t="b">
        <v>1</v>
      </c>
      <c r="AX60" s="2" t="b">
        <v>1</v>
      </c>
      <c r="AY60" s="2" t="b">
        <v>1</v>
      </c>
      <c r="AZ60" s="2" t="b">
        <v>1</v>
      </c>
      <c r="BA60" s="2" t="b">
        <v>1</v>
      </c>
      <c r="BB60" s="2" t="b">
        <v>1</v>
      </c>
      <c r="BC60" s="2" t="b">
        <v>1</v>
      </c>
      <c r="BD60" s="2" t="b">
        <v>0</v>
      </c>
      <c r="BE60" s="2" t="b">
        <v>1</v>
      </c>
      <c r="BF60" s="2" t="b">
        <v>1</v>
      </c>
      <c r="BG60" s="2" t="b">
        <v>1</v>
      </c>
      <c r="BH60" s="2" t="b">
        <v>1</v>
      </c>
      <c r="BI60" s="2" t="b">
        <v>1</v>
      </c>
    </row>
    <row r="61" spans="1:61" ht="15" customHeight="1" x14ac:dyDescent="0.25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spans="1:61" ht="15" customHeight="1" x14ac:dyDescent="0.25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spans="1:61" ht="15" customHeight="1" x14ac:dyDescent="0.25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spans="1:61" ht="15" customHeight="1" x14ac:dyDescent="0.25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spans="2:41" ht="15" customHeight="1" x14ac:dyDescent="0.2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spans="2:41" ht="15" customHeight="1" x14ac:dyDescent="0.25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spans="2:41" ht="15" customHeight="1" x14ac:dyDescent="0.25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spans="2:41" ht="15" customHeight="1" x14ac:dyDescent="0.25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60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2" width="19" customWidth="1"/>
    <col min="3" max="6" width="20" customWidth="1"/>
    <col min="7" max="21" width="19" customWidth="1"/>
    <col min="22" max="30" width="20" customWidth="1"/>
    <col min="31" max="31" width="19" customWidth="1"/>
    <col min="32" max="33" width="20" customWidth="1"/>
    <col min="34" max="34" width="19" customWidth="1"/>
    <col min="35" max="41" width="20" customWidth="1"/>
    <col min="42" max="42" width="19" customWidth="1"/>
    <col min="43" max="43" width="20" customWidth="1"/>
    <col min="44" max="44" width="19" customWidth="1"/>
    <col min="45" max="45" width="20" customWidth="1"/>
    <col min="46" max="47" width="19" customWidth="1"/>
    <col min="48" max="50" width="20" customWidth="1"/>
    <col min="51" max="51" width="19" customWidth="1"/>
    <col min="52" max="54" width="20" customWidth="1"/>
    <col min="55" max="55" width="19" customWidth="1"/>
    <col min="56" max="58" width="20" customWidth="1"/>
    <col min="59" max="59" width="19" customWidth="1"/>
    <col min="60" max="61" width="20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6522.9033333333336</v>
      </c>
      <c r="D2">
        <v>5363.5333333333338</v>
      </c>
      <c r="E2">
        <v>7401.4666666666662</v>
      </c>
      <c r="F2">
        <v>622.06302127142499</v>
      </c>
    </row>
    <row r="3" spans="1:6" x14ac:dyDescent="0.25">
      <c r="A3" t="s">
        <v>6</v>
      </c>
      <c r="B3">
        <v>2</v>
      </c>
      <c r="C3">
        <v>60947.573333333326</v>
      </c>
      <c r="D3">
        <v>50860.6</v>
      </c>
      <c r="E3">
        <v>67145.399999999994</v>
      </c>
      <c r="F3">
        <v>4554.8284908020651</v>
      </c>
    </row>
    <row r="4" spans="1:6" x14ac:dyDescent="0.25">
      <c r="A4" t="s">
        <v>6</v>
      </c>
      <c r="B4">
        <v>3</v>
      </c>
      <c r="C4">
        <v>129656.5533333333</v>
      </c>
      <c r="D4">
        <v>116369.4666666667</v>
      </c>
      <c r="E4">
        <v>144553.16666666669</v>
      </c>
      <c r="F4">
        <v>6660.5498835673397</v>
      </c>
    </row>
    <row r="5" spans="1:6" x14ac:dyDescent="0.25">
      <c r="A5" t="s">
        <v>7</v>
      </c>
      <c r="B5">
        <v>1</v>
      </c>
      <c r="C5">
        <v>6058.0066666666662</v>
      </c>
      <c r="D5">
        <v>5000.2333333333336</v>
      </c>
      <c r="E5">
        <v>6663</v>
      </c>
      <c r="F5">
        <v>462.63385637744528</v>
      </c>
    </row>
    <row r="6" spans="1:6" x14ac:dyDescent="0.25">
      <c r="A6" t="s">
        <v>7</v>
      </c>
      <c r="B6">
        <v>2</v>
      </c>
      <c r="C6">
        <v>43893.876666666663</v>
      </c>
      <c r="D6">
        <v>38555.76666666667</v>
      </c>
      <c r="E6">
        <v>46883.3</v>
      </c>
      <c r="F6">
        <v>2221.4167649422898</v>
      </c>
    </row>
    <row r="7" spans="1:6" x14ac:dyDescent="0.25">
      <c r="A7" t="s">
        <v>7</v>
      </c>
      <c r="B7">
        <v>3</v>
      </c>
      <c r="C7">
        <v>95205.253333333327</v>
      </c>
      <c r="D7">
        <v>88657.133333333331</v>
      </c>
      <c r="E7">
        <v>100892.6666666667</v>
      </c>
      <c r="F7">
        <v>3016.211255834417</v>
      </c>
    </row>
    <row r="8" spans="1:6" x14ac:dyDescent="0.25">
      <c r="A8" t="s">
        <v>8</v>
      </c>
      <c r="B8">
        <v>1</v>
      </c>
      <c r="C8">
        <v>6618.9666666666662</v>
      </c>
      <c r="D8">
        <v>6618.9666666666662</v>
      </c>
      <c r="E8">
        <v>6618.9666666666662</v>
      </c>
      <c r="F8">
        <v>0</v>
      </c>
    </row>
    <row r="9" spans="1:6" x14ac:dyDescent="0.25">
      <c r="A9" t="s">
        <v>8</v>
      </c>
      <c r="B9">
        <v>2</v>
      </c>
      <c r="C9">
        <v>44664.366666666669</v>
      </c>
      <c r="D9">
        <v>44664.366666666669</v>
      </c>
      <c r="E9">
        <v>44664.366666666669</v>
      </c>
      <c r="F9">
        <v>0</v>
      </c>
    </row>
    <row r="10" spans="1:6" x14ac:dyDescent="0.25">
      <c r="A10" t="s">
        <v>8</v>
      </c>
      <c r="B10">
        <v>3</v>
      </c>
      <c r="C10">
        <v>93415.733333333337</v>
      </c>
      <c r="D10">
        <v>93415.733333333337</v>
      </c>
      <c r="E10">
        <v>93415.733333333337</v>
      </c>
      <c r="F10">
        <v>0</v>
      </c>
    </row>
    <row r="11" spans="1:6" x14ac:dyDescent="0.25">
      <c r="A11" t="s">
        <v>9</v>
      </c>
      <c r="B11">
        <v>1</v>
      </c>
      <c r="C11">
        <v>6718.2983333333332</v>
      </c>
      <c r="D11">
        <v>6112.9333333333334</v>
      </c>
      <c r="E11">
        <v>7228.5</v>
      </c>
      <c r="F11">
        <v>324.95119727173397</v>
      </c>
    </row>
    <row r="12" spans="1:6" ht="15" customHeight="1" x14ac:dyDescent="0.25">
      <c r="A12" s="1" t="s">
        <v>9</v>
      </c>
      <c r="B12">
        <v>2</v>
      </c>
      <c r="C12">
        <v>45463.474999999999</v>
      </c>
      <c r="D12">
        <v>40403.033333333333</v>
      </c>
      <c r="E12">
        <v>48419.4</v>
      </c>
      <c r="F12">
        <v>1958.1300937338431</v>
      </c>
    </row>
    <row r="13" spans="1:6" x14ac:dyDescent="0.25">
      <c r="A13" t="s">
        <v>9</v>
      </c>
      <c r="B13">
        <v>3</v>
      </c>
      <c r="C13">
        <v>94489.258333333331</v>
      </c>
      <c r="D13">
        <v>84016.3</v>
      </c>
      <c r="E13">
        <v>98468.566666666666</v>
      </c>
      <c r="F13">
        <v>3388.4352571139339</v>
      </c>
    </row>
    <row r="14" spans="1:6" x14ac:dyDescent="0.25">
      <c r="A14" t="s">
        <v>10</v>
      </c>
      <c r="B14">
        <v>1</v>
      </c>
      <c r="C14">
        <v>6635.0333333333328</v>
      </c>
      <c r="D14">
        <v>6176.3666666666668</v>
      </c>
      <c r="E14">
        <v>6872.0666666666666</v>
      </c>
      <c r="F14">
        <v>192.99661626279581</v>
      </c>
    </row>
    <row r="15" spans="1:6" x14ac:dyDescent="0.25">
      <c r="A15" t="s">
        <v>10</v>
      </c>
      <c r="B15">
        <v>2</v>
      </c>
      <c r="C15">
        <v>45209.168333333328</v>
      </c>
      <c r="D15">
        <v>41303.300000000003</v>
      </c>
      <c r="E15">
        <v>48079.833333333343</v>
      </c>
      <c r="F15">
        <v>1805.480231944307</v>
      </c>
    </row>
    <row r="16" spans="1:6" x14ac:dyDescent="0.25">
      <c r="A16" t="s">
        <v>10</v>
      </c>
      <c r="B16">
        <v>3</v>
      </c>
      <c r="C16">
        <v>95741.743333333332</v>
      </c>
      <c r="D16">
        <v>87815.03333333334</v>
      </c>
      <c r="E16">
        <v>100414.1333333333</v>
      </c>
      <c r="F16">
        <v>2924.8199801412279</v>
      </c>
    </row>
    <row r="17" spans="1:6" x14ac:dyDescent="0.25">
      <c r="A17" t="s">
        <v>11</v>
      </c>
      <c r="B17">
        <v>1</v>
      </c>
      <c r="C17">
        <v>6777.9633333333331</v>
      </c>
      <c r="D17">
        <v>6437.8666666666668</v>
      </c>
      <c r="E17">
        <v>7167.2</v>
      </c>
      <c r="F17">
        <v>212.53713293864149</v>
      </c>
    </row>
    <row r="18" spans="1:6" x14ac:dyDescent="0.25">
      <c r="A18" t="s">
        <v>11</v>
      </c>
      <c r="B18">
        <v>2</v>
      </c>
      <c r="C18">
        <v>45598.53833333333</v>
      </c>
      <c r="D18">
        <v>38412.066666666673</v>
      </c>
      <c r="E18">
        <v>48156.5</v>
      </c>
      <c r="F18">
        <v>2234.8921419233088</v>
      </c>
    </row>
    <row r="19" spans="1:6" x14ac:dyDescent="0.25">
      <c r="A19" t="s">
        <v>11</v>
      </c>
      <c r="B19">
        <v>3</v>
      </c>
      <c r="C19">
        <v>93969.973333333328</v>
      </c>
      <c r="D19">
        <v>84841.3</v>
      </c>
      <c r="E19">
        <v>101260.3666666667</v>
      </c>
      <c r="F19">
        <v>4408.4907959350949</v>
      </c>
    </row>
    <row r="20" spans="1:6" ht="15" customHeight="1" x14ac:dyDescent="0.25">
      <c r="A20" s="1" t="s">
        <v>12</v>
      </c>
      <c r="B20">
        <v>1</v>
      </c>
      <c r="C20">
        <v>6704.11</v>
      </c>
      <c r="D20">
        <v>5947.3</v>
      </c>
      <c r="E20">
        <v>6987.0333333333338</v>
      </c>
      <c r="F20">
        <v>264.56458990827417</v>
      </c>
    </row>
    <row r="21" spans="1:6" x14ac:dyDescent="0.25">
      <c r="A21" t="s">
        <v>12</v>
      </c>
      <c r="B21">
        <v>2</v>
      </c>
      <c r="C21">
        <v>45192.91</v>
      </c>
      <c r="D21">
        <v>41479.300000000003</v>
      </c>
      <c r="E21">
        <v>48064.800000000003</v>
      </c>
      <c r="F21">
        <v>1766.3154206206259</v>
      </c>
    </row>
    <row r="22" spans="1:6" x14ac:dyDescent="0.25">
      <c r="A22" t="s">
        <v>12</v>
      </c>
      <c r="B22">
        <v>3</v>
      </c>
      <c r="C22">
        <v>94368.683333333334</v>
      </c>
      <c r="D22">
        <v>83769.3</v>
      </c>
      <c r="E22">
        <v>99522.333333333328</v>
      </c>
      <c r="F22">
        <v>4366.8196650995324</v>
      </c>
    </row>
    <row r="23" spans="1:6" ht="15" customHeight="1" x14ac:dyDescent="0.25">
      <c r="A23" s="1" t="s">
        <v>13</v>
      </c>
      <c r="B23">
        <v>1</v>
      </c>
      <c r="C23">
        <v>6776.6549999999997</v>
      </c>
      <c r="D23">
        <v>6327.2333333333336</v>
      </c>
      <c r="E23">
        <v>7134.4</v>
      </c>
      <c r="F23">
        <v>239.0198388500186</v>
      </c>
    </row>
    <row r="24" spans="1:6" x14ac:dyDescent="0.25">
      <c r="A24" t="s">
        <v>13</v>
      </c>
      <c r="B24">
        <v>2</v>
      </c>
      <c r="C24">
        <v>45648.266666666663</v>
      </c>
      <c r="D24">
        <v>39980.9</v>
      </c>
      <c r="E24">
        <v>48666.26666666667</v>
      </c>
      <c r="F24">
        <v>1866.566017762744</v>
      </c>
    </row>
    <row r="25" spans="1:6" x14ac:dyDescent="0.25">
      <c r="A25" t="s">
        <v>13</v>
      </c>
      <c r="B25">
        <v>3</v>
      </c>
      <c r="C25">
        <v>94819.54</v>
      </c>
      <c r="D25">
        <v>83494.333333333328</v>
      </c>
      <c r="E25">
        <v>100700.26666666671</v>
      </c>
      <c r="F25">
        <v>4280.7175058316252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65709.009999999995</v>
      </c>
      <c r="D29">
        <v>5363.5333333333338</v>
      </c>
      <c r="E29">
        <v>144553.16666666669</v>
      </c>
      <c r="F29">
        <v>50597.928645323722</v>
      </c>
    </row>
    <row r="30" spans="1:6" x14ac:dyDescent="0.25">
      <c r="A30" t="s">
        <v>7</v>
      </c>
      <c r="C30">
        <v>48385.712222222217</v>
      </c>
      <c r="D30">
        <v>5000.2333333333336</v>
      </c>
      <c r="E30">
        <v>100892.6666666667</v>
      </c>
      <c r="F30">
        <v>36597.481365887463</v>
      </c>
    </row>
    <row r="31" spans="1:6" ht="15" customHeight="1" x14ac:dyDescent="0.25">
      <c r="A31" s="1" t="s">
        <v>8</v>
      </c>
      <c r="C31">
        <v>48233.022222222222</v>
      </c>
      <c r="D31">
        <v>6618.9666666666662</v>
      </c>
      <c r="E31">
        <v>93415.733333333337</v>
      </c>
      <c r="F31">
        <v>35524.368657796891</v>
      </c>
    </row>
    <row r="32" spans="1:6" x14ac:dyDescent="0.25">
      <c r="A32" t="s">
        <v>9</v>
      </c>
      <c r="C32">
        <v>48890.343888888878</v>
      </c>
      <c r="D32">
        <v>6112.9333333333334</v>
      </c>
      <c r="E32">
        <v>98468.566666666666</v>
      </c>
      <c r="F32">
        <v>35985.678704495287</v>
      </c>
    </row>
    <row r="33" spans="1:6" x14ac:dyDescent="0.25">
      <c r="A33" t="s">
        <v>10</v>
      </c>
      <c r="C33">
        <v>49195.315000000002</v>
      </c>
      <c r="D33">
        <v>6176.3666666666668</v>
      </c>
      <c r="E33">
        <v>100414.1333333333</v>
      </c>
      <c r="F33">
        <v>36540.792318824453</v>
      </c>
    </row>
    <row r="34" spans="1:6" x14ac:dyDescent="0.25">
      <c r="A34" t="s">
        <v>11</v>
      </c>
      <c r="C34">
        <v>48782.158333333333</v>
      </c>
      <c r="D34">
        <v>6437.8666666666668</v>
      </c>
      <c r="E34">
        <v>101260.3666666667</v>
      </c>
      <c r="F34">
        <v>35781.285445483009</v>
      </c>
    </row>
    <row r="35" spans="1:6" ht="15" customHeight="1" x14ac:dyDescent="0.25">
      <c r="A35" s="1" t="s">
        <v>12</v>
      </c>
      <c r="C35">
        <v>48755.234444444453</v>
      </c>
      <c r="D35">
        <v>5947.3</v>
      </c>
      <c r="E35">
        <v>99522.333333333328</v>
      </c>
      <c r="F35">
        <v>35980.702793783661</v>
      </c>
    </row>
    <row r="36" spans="1:6" ht="15" customHeight="1" x14ac:dyDescent="0.25">
      <c r="A36" s="1" t="s">
        <v>13</v>
      </c>
      <c r="C36">
        <v>49081.487222222233</v>
      </c>
      <c r="D36">
        <v>6327.2333333333336</v>
      </c>
      <c r="E36">
        <v>100700.26666666671</v>
      </c>
      <c r="F36">
        <v>36126.26489680793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6522.9033333333336</v>
      </c>
      <c r="C41">
        <v>60947.573333333326</v>
      </c>
      <c r="D41">
        <v>129656.5533333333</v>
      </c>
    </row>
    <row r="42" spans="1:6" x14ac:dyDescent="0.25">
      <c r="A42" t="s">
        <v>7</v>
      </c>
      <c r="B42">
        <v>6058.0066666666662</v>
      </c>
      <c r="C42">
        <v>43893.876666666663</v>
      </c>
      <c r="D42">
        <v>95205.253333333327</v>
      </c>
    </row>
    <row r="43" spans="1:6" ht="15" customHeight="1" x14ac:dyDescent="0.25">
      <c r="A43" s="1" t="s">
        <v>8</v>
      </c>
      <c r="B43">
        <v>6618.9666666666662</v>
      </c>
      <c r="C43">
        <v>44664.366666666669</v>
      </c>
      <c r="D43">
        <v>93415.733333333337</v>
      </c>
    </row>
    <row r="44" spans="1:6" x14ac:dyDescent="0.25">
      <c r="A44" t="s">
        <v>9</v>
      </c>
      <c r="B44">
        <v>6718.2983333333332</v>
      </c>
      <c r="C44">
        <v>45463.474999999999</v>
      </c>
      <c r="D44">
        <v>94489.258333333331</v>
      </c>
    </row>
    <row r="45" spans="1:6" x14ac:dyDescent="0.25">
      <c r="A45" t="s">
        <v>10</v>
      </c>
      <c r="B45">
        <v>6635.0333333333328</v>
      </c>
      <c r="C45">
        <v>45209.168333333328</v>
      </c>
      <c r="D45">
        <v>95741.743333333332</v>
      </c>
    </row>
    <row r="46" spans="1:6" x14ac:dyDescent="0.25">
      <c r="A46" t="s">
        <v>11</v>
      </c>
      <c r="B46">
        <v>6777.9633333333331</v>
      </c>
      <c r="C46">
        <v>45598.53833333333</v>
      </c>
      <c r="D46">
        <v>93969.973333333328</v>
      </c>
    </row>
    <row r="47" spans="1:6" ht="15" customHeight="1" x14ac:dyDescent="0.25">
      <c r="A47" s="1" t="s">
        <v>12</v>
      </c>
      <c r="B47">
        <v>6704.11</v>
      </c>
      <c r="C47">
        <v>45192.91</v>
      </c>
      <c r="D47">
        <v>94368.683333333334</v>
      </c>
    </row>
    <row r="48" spans="1:6" x14ac:dyDescent="0.25">
      <c r="A48" t="s">
        <v>13</v>
      </c>
      <c r="B48">
        <v>6776.6549999999997</v>
      </c>
      <c r="C48">
        <v>45648.266666666663</v>
      </c>
      <c r="D48">
        <v>94819.54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5363.5333333333338</v>
      </c>
      <c r="C53">
        <v>6645.666666666667</v>
      </c>
      <c r="D53">
        <v>7355.5333333333338</v>
      </c>
      <c r="E53">
        <v>6331.8666666666668</v>
      </c>
      <c r="F53">
        <v>6521.833333333333</v>
      </c>
      <c r="G53">
        <v>7401.4666666666662</v>
      </c>
      <c r="H53">
        <v>5452.7666666666664</v>
      </c>
      <c r="I53">
        <v>6232.7</v>
      </c>
      <c r="J53">
        <v>6652.0666666666666</v>
      </c>
      <c r="K53">
        <v>6855.166666666667</v>
      </c>
      <c r="L53">
        <v>6270.4333333333334</v>
      </c>
      <c r="M53">
        <v>7286.4333333333334</v>
      </c>
      <c r="N53">
        <v>5445.2666666666664</v>
      </c>
      <c r="O53">
        <v>7090.166666666667</v>
      </c>
      <c r="P53">
        <v>6585.5666666666666</v>
      </c>
      <c r="Q53">
        <v>6569.1</v>
      </c>
      <c r="R53">
        <v>6683.5666666666666</v>
      </c>
      <c r="S53">
        <v>5731.7</v>
      </c>
      <c r="T53">
        <v>6607.666666666667</v>
      </c>
      <c r="U53">
        <v>7375.5666666666666</v>
      </c>
      <c r="V53">
        <v>67089.866666666669</v>
      </c>
      <c r="W53">
        <v>50860.6</v>
      </c>
      <c r="X53">
        <v>67145.399999999994</v>
      </c>
      <c r="Y53">
        <v>65490.166666666657</v>
      </c>
      <c r="Z53">
        <v>57129.4</v>
      </c>
      <c r="AA53">
        <v>65026.066666666673</v>
      </c>
      <c r="AB53">
        <v>61495.166666666657</v>
      </c>
      <c r="AC53">
        <v>65213.333333333343</v>
      </c>
      <c r="AD53">
        <v>66782.866666666669</v>
      </c>
      <c r="AE53">
        <v>57081.76666666667</v>
      </c>
      <c r="AF53">
        <v>62617.7</v>
      </c>
      <c r="AG53">
        <v>63759.166666666657</v>
      </c>
      <c r="AH53">
        <v>59538.6</v>
      </c>
      <c r="AI53">
        <v>59801.7</v>
      </c>
      <c r="AJ53">
        <v>58434.73333333333</v>
      </c>
      <c r="AK53">
        <v>54647.933333333327</v>
      </c>
      <c r="AL53">
        <v>59618</v>
      </c>
      <c r="AM53">
        <v>53850.7</v>
      </c>
      <c r="AN53">
        <v>63182.666666666657</v>
      </c>
      <c r="AO53">
        <v>60185.633333333331</v>
      </c>
      <c r="AP53">
        <v>134931</v>
      </c>
      <c r="AQ53">
        <v>121695.8333333333</v>
      </c>
      <c r="AR53">
        <v>125492.4</v>
      </c>
      <c r="AS53">
        <v>135885.4666666667</v>
      </c>
      <c r="AT53">
        <v>129091.1</v>
      </c>
      <c r="AU53">
        <v>121699.6</v>
      </c>
      <c r="AV53">
        <v>131459.5333333333</v>
      </c>
      <c r="AW53">
        <v>130943.93333333331</v>
      </c>
      <c r="AX53">
        <v>133528.56666666671</v>
      </c>
      <c r="AY53">
        <v>128472.1</v>
      </c>
      <c r="AZ53">
        <v>116369.4666666667</v>
      </c>
      <c r="BA53">
        <v>116703.26666666671</v>
      </c>
      <c r="BB53">
        <v>128314.1</v>
      </c>
      <c r="BC53">
        <v>130433.1</v>
      </c>
      <c r="BD53">
        <v>129120.8666666667</v>
      </c>
      <c r="BE53">
        <v>130704.23333333329</v>
      </c>
      <c r="BF53">
        <v>144553.16666666669</v>
      </c>
      <c r="BG53">
        <v>132510.1</v>
      </c>
      <c r="BH53">
        <v>137327.4666666667</v>
      </c>
      <c r="BI53">
        <v>133895.76666666669</v>
      </c>
    </row>
    <row r="54" spans="1:61" x14ac:dyDescent="0.25">
      <c r="A54" t="s">
        <v>7</v>
      </c>
      <c r="B54">
        <v>6306.4</v>
      </c>
      <c r="C54">
        <v>5942.4666666666662</v>
      </c>
      <c r="D54">
        <v>6663</v>
      </c>
      <c r="E54">
        <v>5932</v>
      </c>
      <c r="F54">
        <v>6595.5666666666666</v>
      </c>
      <c r="G54">
        <v>5985.5</v>
      </c>
      <c r="H54">
        <v>5996.4333333333334</v>
      </c>
      <c r="I54">
        <v>5563.8</v>
      </c>
      <c r="J54">
        <v>5984.4</v>
      </c>
      <c r="K54">
        <v>6339.9333333333334</v>
      </c>
      <c r="L54">
        <v>5737.4</v>
      </c>
      <c r="M54">
        <v>6572.5</v>
      </c>
      <c r="N54">
        <v>5000.2333333333336</v>
      </c>
      <c r="O54">
        <v>6576.0666666666666</v>
      </c>
      <c r="P54">
        <v>5663.166666666667</v>
      </c>
      <c r="Q54">
        <v>5200.9666666666662</v>
      </c>
      <c r="R54">
        <v>6574.8666666666668</v>
      </c>
      <c r="S54">
        <v>5952.6</v>
      </c>
      <c r="T54">
        <v>6576.8666666666668</v>
      </c>
      <c r="U54">
        <v>5995.9666666666662</v>
      </c>
      <c r="V54">
        <v>44328.066666666673</v>
      </c>
      <c r="W54">
        <v>45943.199999999997</v>
      </c>
      <c r="X54">
        <v>43090.26666666667</v>
      </c>
      <c r="Y54">
        <v>46123.866666666669</v>
      </c>
      <c r="Z54">
        <v>42445.466666666667</v>
      </c>
      <c r="AA54">
        <v>42753.166666666657</v>
      </c>
      <c r="AB54">
        <v>40897.966666666667</v>
      </c>
      <c r="AC54">
        <v>38555.76666666667</v>
      </c>
      <c r="AD54">
        <v>43478.966666666667</v>
      </c>
      <c r="AE54">
        <v>46807.5</v>
      </c>
      <c r="AF54">
        <v>45725.26666666667</v>
      </c>
      <c r="AG54">
        <v>45888</v>
      </c>
      <c r="AH54">
        <v>44939.76666666667</v>
      </c>
      <c r="AI54">
        <v>41488.23333333333</v>
      </c>
      <c r="AJ54">
        <v>41040.23333333333</v>
      </c>
      <c r="AK54">
        <v>43916.066666666673</v>
      </c>
      <c r="AL54">
        <v>46013.833333333343</v>
      </c>
      <c r="AM54">
        <v>45072.2</v>
      </c>
      <c r="AN54">
        <v>42486.400000000001</v>
      </c>
      <c r="AO54">
        <v>46883.3</v>
      </c>
      <c r="AP54">
        <v>95333.766666666663</v>
      </c>
      <c r="AQ54">
        <v>100892.6666666667</v>
      </c>
      <c r="AR54">
        <v>96603.53333333334</v>
      </c>
      <c r="AS54">
        <v>90491.3</v>
      </c>
      <c r="AT54">
        <v>96231.566666666666</v>
      </c>
      <c r="AU54">
        <v>96053.166666666672</v>
      </c>
      <c r="AV54">
        <v>98740.133333333331</v>
      </c>
      <c r="AW54">
        <v>93429.066666666666</v>
      </c>
      <c r="AX54">
        <v>93602.733333333337</v>
      </c>
      <c r="AY54">
        <v>95858.3</v>
      </c>
      <c r="AZ54">
        <v>94976.46666666666</v>
      </c>
      <c r="BA54">
        <v>98270.399999999994</v>
      </c>
      <c r="BB54">
        <v>98333.566666666666</v>
      </c>
      <c r="BC54">
        <v>96846.133333333331</v>
      </c>
      <c r="BD54">
        <v>97227.7</v>
      </c>
      <c r="BE54">
        <v>88657.133333333331</v>
      </c>
      <c r="BF54">
        <v>95553.2</v>
      </c>
      <c r="BG54">
        <v>95007.566666666666</v>
      </c>
      <c r="BH54">
        <v>90477.333333333328</v>
      </c>
      <c r="BI54">
        <v>91519.333333333328</v>
      </c>
    </row>
    <row r="55" spans="1:61" x14ac:dyDescent="0.25">
      <c r="A55" t="s">
        <v>8</v>
      </c>
      <c r="B55">
        <v>6618.9666666666662</v>
      </c>
      <c r="C55">
        <v>6618.9666666666662</v>
      </c>
      <c r="D55">
        <v>6618.9666666666662</v>
      </c>
      <c r="E55">
        <v>6618.9666666666662</v>
      </c>
      <c r="F55">
        <v>6618.9666666666662</v>
      </c>
      <c r="G55">
        <v>6618.9666666666662</v>
      </c>
      <c r="H55">
        <v>6618.9666666666662</v>
      </c>
      <c r="I55">
        <v>6618.9666666666662</v>
      </c>
      <c r="J55">
        <v>6618.9666666666662</v>
      </c>
      <c r="K55">
        <v>6618.9666666666662</v>
      </c>
      <c r="L55">
        <v>6618.9666666666662</v>
      </c>
      <c r="M55">
        <v>6618.9666666666662</v>
      </c>
      <c r="N55">
        <v>6618.9666666666662</v>
      </c>
      <c r="O55">
        <v>6618.9666666666662</v>
      </c>
      <c r="P55">
        <v>6618.9666666666662</v>
      </c>
      <c r="Q55">
        <v>6618.9666666666662</v>
      </c>
      <c r="R55">
        <v>6618.9666666666662</v>
      </c>
      <c r="S55">
        <v>6618.9666666666662</v>
      </c>
      <c r="T55">
        <v>6618.9666666666662</v>
      </c>
      <c r="U55">
        <v>6618.9666666666662</v>
      </c>
      <c r="V55">
        <v>44664.366666666669</v>
      </c>
      <c r="W55">
        <v>44664.366666666669</v>
      </c>
      <c r="X55">
        <v>44664.366666666669</v>
      </c>
      <c r="Y55">
        <v>44664.366666666669</v>
      </c>
      <c r="Z55">
        <v>44664.366666666669</v>
      </c>
      <c r="AA55">
        <v>44664.366666666669</v>
      </c>
      <c r="AB55">
        <v>44664.366666666669</v>
      </c>
      <c r="AC55">
        <v>44664.366666666669</v>
      </c>
      <c r="AD55">
        <v>44664.366666666669</v>
      </c>
      <c r="AE55">
        <v>44664.366666666669</v>
      </c>
      <c r="AF55">
        <v>44664.366666666669</v>
      </c>
      <c r="AG55">
        <v>44664.366666666669</v>
      </c>
      <c r="AH55">
        <v>44664.366666666669</v>
      </c>
      <c r="AI55">
        <v>44664.366666666669</v>
      </c>
      <c r="AJ55">
        <v>44664.366666666669</v>
      </c>
      <c r="AK55">
        <v>44664.366666666669</v>
      </c>
      <c r="AL55">
        <v>44664.366666666669</v>
      </c>
      <c r="AM55">
        <v>44664.366666666669</v>
      </c>
      <c r="AN55">
        <v>44664.366666666669</v>
      </c>
      <c r="AO55">
        <v>44664.366666666669</v>
      </c>
      <c r="AP55">
        <v>93415.733333333337</v>
      </c>
      <c r="AQ55">
        <v>93415.733333333337</v>
      </c>
      <c r="AR55">
        <v>93415.733333333337</v>
      </c>
      <c r="AS55">
        <v>93415.733333333337</v>
      </c>
      <c r="AT55">
        <v>93415.733333333337</v>
      </c>
      <c r="AU55">
        <v>93415.733333333337</v>
      </c>
      <c r="AV55">
        <v>93415.733333333337</v>
      </c>
      <c r="AW55">
        <v>93415.733333333337</v>
      </c>
      <c r="AX55">
        <v>93415.733333333337</v>
      </c>
      <c r="AY55">
        <v>93415.733333333337</v>
      </c>
      <c r="AZ55">
        <v>93415.733333333337</v>
      </c>
      <c r="BA55">
        <v>93415.733333333337</v>
      </c>
      <c r="BB55">
        <v>93415.733333333337</v>
      </c>
      <c r="BC55">
        <v>93415.733333333337</v>
      </c>
      <c r="BD55">
        <v>93415.733333333337</v>
      </c>
      <c r="BE55">
        <v>93415.733333333337</v>
      </c>
      <c r="BF55">
        <v>93415.733333333337</v>
      </c>
      <c r="BG55">
        <v>93415.733333333337</v>
      </c>
      <c r="BH55">
        <v>93415.733333333337</v>
      </c>
      <c r="BI55">
        <v>93415.733333333337</v>
      </c>
    </row>
    <row r="56" spans="1:61" x14ac:dyDescent="0.25">
      <c r="A56" t="s">
        <v>9</v>
      </c>
      <c r="B56">
        <v>6978.4333333333334</v>
      </c>
      <c r="C56">
        <v>7154.333333333333</v>
      </c>
      <c r="D56">
        <v>6570.7666666666664</v>
      </c>
      <c r="E56">
        <v>7178.1</v>
      </c>
      <c r="F56">
        <v>6844.9</v>
      </c>
      <c r="G56">
        <v>6809.4</v>
      </c>
      <c r="H56">
        <v>6422.9333333333334</v>
      </c>
      <c r="I56">
        <v>6926.2</v>
      </c>
      <c r="J56">
        <v>6409.7</v>
      </c>
      <c r="K56">
        <v>7046.0333333333338</v>
      </c>
      <c r="L56">
        <v>6841.833333333333</v>
      </c>
      <c r="M56">
        <v>6580.1</v>
      </c>
      <c r="N56">
        <v>6112.9333333333334</v>
      </c>
      <c r="O56">
        <v>6857.1333333333332</v>
      </c>
      <c r="P56">
        <v>6281.9</v>
      </c>
      <c r="Q56">
        <v>6288.9</v>
      </c>
      <c r="R56">
        <v>6711.3666666666668</v>
      </c>
      <c r="S56">
        <v>6843.0666666666666</v>
      </c>
      <c r="T56">
        <v>6279.4333333333334</v>
      </c>
      <c r="U56">
        <v>7228.5</v>
      </c>
      <c r="V56">
        <v>45762.933333333327</v>
      </c>
      <c r="W56">
        <v>45727.933333333327</v>
      </c>
      <c r="X56">
        <v>40403.033333333333</v>
      </c>
      <c r="Y56">
        <v>47578.466666666667</v>
      </c>
      <c r="Z56">
        <v>45326.166666666657</v>
      </c>
      <c r="AA56">
        <v>46398.7</v>
      </c>
      <c r="AB56">
        <v>47237.466666666667</v>
      </c>
      <c r="AC56">
        <v>44900.5</v>
      </c>
      <c r="AD56">
        <v>45187.333333333343</v>
      </c>
      <c r="AE56">
        <v>47000.133333333331</v>
      </c>
      <c r="AF56">
        <v>46054.633333333331</v>
      </c>
      <c r="AG56">
        <v>46652.066666666673</v>
      </c>
      <c r="AH56">
        <v>46008.7</v>
      </c>
      <c r="AI56">
        <v>44355.23333333333</v>
      </c>
      <c r="AJ56">
        <v>45349.333333333343</v>
      </c>
      <c r="AK56">
        <v>41891</v>
      </c>
      <c r="AL56">
        <v>45323.5</v>
      </c>
      <c r="AM56">
        <v>48419.4</v>
      </c>
      <c r="AN56">
        <v>47498.633333333331</v>
      </c>
      <c r="AO56">
        <v>42194.333333333343</v>
      </c>
      <c r="AP56">
        <v>92821.1</v>
      </c>
      <c r="AQ56">
        <v>96256.066666666666</v>
      </c>
      <c r="AR56">
        <v>96351.4</v>
      </c>
      <c r="AS56">
        <v>98468.566666666666</v>
      </c>
      <c r="AT56">
        <v>92509.066666666666</v>
      </c>
      <c r="AU56">
        <v>92131.766666666663</v>
      </c>
      <c r="AV56">
        <v>97969.96666666666</v>
      </c>
      <c r="AW56">
        <v>97878.433333333334</v>
      </c>
      <c r="AX56">
        <v>91459.433333333334</v>
      </c>
      <c r="AY56">
        <v>96146.566666666666</v>
      </c>
      <c r="AZ56">
        <v>96387.5</v>
      </c>
      <c r="BA56">
        <v>90336.366666666669</v>
      </c>
      <c r="BB56">
        <v>97316.133333333331</v>
      </c>
      <c r="BC56">
        <v>96500.1</v>
      </c>
      <c r="BD56">
        <v>84016.3</v>
      </c>
      <c r="BE56">
        <v>95009.5</v>
      </c>
      <c r="BF56">
        <v>92315.633333333331</v>
      </c>
      <c r="BG56">
        <v>94067.7</v>
      </c>
      <c r="BH56">
        <v>97867.433333333334</v>
      </c>
      <c r="BI56">
        <v>93976.133333333331</v>
      </c>
    </row>
    <row r="57" spans="1:61" x14ac:dyDescent="0.25">
      <c r="A57" t="s">
        <v>10</v>
      </c>
      <c r="B57">
        <v>6425.5666666666666</v>
      </c>
      <c r="C57">
        <v>6872.0666666666666</v>
      </c>
      <c r="D57">
        <v>6371</v>
      </c>
      <c r="E57">
        <v>6731.7333333333336</v>
      </c>
      <c r="F57">
        <v>6856.1</v>
      </c>
      <c r="G57">
        <v>6779.4666666666662</v>
      </c>
      <c r="H57">
        <v>6728.4666666666662</v>
      </c>
      <c r="I57">
        <v>6796.4666666666662</v>
      </c>
      <c r="J57">
        <v>6786.2333333333336</v>
      </c>
      <c r="K57">
        <v>6871.166666666667</v>
      </c>
      <c r="L57">
        <v>6634.3666666666668</v>
      </c>
      <c r="M57">
        <v>6387.5333333333338</v>
      </c>
      <c r="N57">
        <v>6644.4666666666662</v>
      </c>
      <c r="O57">
        <v>6446.5</v>
      </c>
      <c r="P57">
        <v>6648.833333333333</v>
      </c>
      <c r="Q57">
        <v>6768.0666666666666</v>
      </c>
      <c r="R57">
        <v>6700.5666666666666</v>
      </c>
      <c r="S57">
        <v>6668.9</v>
      </c>
      <c r="T57">
        <v>6406.8</v>
      </c>
      <c r="U57">
        <v>6176.3666666666668</v>
      </c>
      <c r="V57">
        <v>46287.199999999997</v>
      </c>
      <c r="W57">
        <v>43913.73333333333</v>
      </c>
      <c r="X57">
        <v>44011.566666666673</v>
      </c>
      <c r="Y57">
        <v>46150.633333333331</v>
      </c>
      <c r="Z57">
        <v>42529.2</v>
      </c>
      <c r="AA57">
        <v>46742.2</v>
      </c>
      <c r="AB57">
        <v>43791.73333333333</v>
      </c>
      <c r="AC57">
        <v>45066.633333333331</v>
      </c>
      <c r="AD57">
        <v>47308</v>
      </c>
      <c r="AE57">
        <v>45998.966666666667</v>
      </c>
      <c r="AF57">
        <v>41303.300000000003</v>
      </c>
      <c r="AG57">
        <v>44557.26666666667</v>
      </c>
      <c r="AH57">
        <v>45145.73333333333</v>
      </c>
      <c r="AI57">
        <v>45586.666666666657</v>
      </c>
      <c r="AJ57">
        <v>47615.633333333331</v>
      </c>
      <c r="AK57">
        <v>44201.966666666667</v>
      </c>
      <c r="AL57">
        <v>46262.333333333343</v>
      </c>
      <c r="AM57">
        <v>42454.166666666657</v>
      </c>
      <c r="AN57">
        <v>47176.6</v>
      </c>
      <c r="AO57">
        <v>48079.833333333343</v>
      </c>
      <c r="AP57">
        <v>94443.03333333334</v>
      </c>
      <c r="AQ57">
        <v>95366.233333333337</v>
      </c>
      <c r="AR57">
        <v>92994.4</v>
      </c>
      <c r="AS57">
        <v>96686.666666666672</v>
      </c>
      <c r="AT57">
        <v>87815.03333333334</v>
      </c>
      <c r="AU57">
        <v>89648.9</v>
      </c>
      <c r="AV57">
        <v>100414.1333333333</v>
      </c>
      <c r="AW57">
        <v>98556.133333333331</v>
      </c>
      <c r="AX57">
        <v>99053.666666666672</v>
      </c>
      <c r="AY57">
        <v>97239.2</v>
      </c>
      <c r="AZ57">
        <v>95868.2</v>
      </c>
      <c r="BA57">
        <v>96057.066666666666</v>
      </c>
      <c r="BB57">
        <v>98149.5</v>
      </c>
      <c r="BC57">
        <v>97266.7</v>
      </c>
      <c r="BD57">
        <v>94996.800000000003</v>
      </c>
      <c r="BE57">
        <v>95337.233333333337</v>
      </c>
      <c r="BF57">
        <v>95502.633333333331</v>
      </c>
      <c r="BG57">
        <v>97309.4</v>
      </c>
      <c r="BH57">
        <v>94300.9</v>
      </c>
      <c r="BI57">
        <v>97829.03333333334</v>
      </c>
    </row>
    <row r="58" spans="1:61" x14ac:dyDescent="0.25">
      <c r="A58" t="s">
        <v>11</v>
      </c>
      <c r="B58">
        <v>6934.8666666666668</v>
      </c>
      <c r="C58">
        <v>7041.6333333333332</v>
      </c>
      <c r="D58">
        <v>6867.1</v>
      </c>
      <c r="E58">
        <v>6756.833333333333</v>
      </c>
      <c r="F58">
        <v>6527.6333333333332</v>
      </c>
      <c r="G58">
        <v>6728.4333333333334</v>
      </c>
      <c r="H58">
        <v>6553.666666666667</v>
      </c>
      <c r="I58">
        <v>6791.8666666666668</v>
      </c>
      <c r="J58">
        <v>6437.8666666666668</v>
      </c>
      <c r="K58">
        <v>6878.0666666666666</v>
      </c>
      <c r="L58">
        <v>6640.833333333333</v>
      </c>
      <c r="M58">
        <v>6732.0333333333338</v>
      </c>
      <c r="N58">
        <v>7167.2</v>
      </c>
      <c r="O58">
        <v>6978.5666666666666</v>
      </c>
      <c r="P58">
        <v>7042.4333333333334</v>
      </c>
      <c r="Q58">
        <v>6579.8</v>
      </c>
      <c r="R58">
        <v>6922.2333333333336</v>
      </c>
      <c r="S58">
        <v>6996.7666666666664</v>
      </c>
      <c r="T58">
        <v>6535.5333333333338</v>
      </c>
      <c r="U58">
        <v>6445.9</v>
      </c>
      <c r="V58">
        <v>42953.933333333327</v>
      </c>
      <c r="W58">
        <v>47315.566666666673</v>
      </c>
      <c r="X58">
        <v>46370.633333333331</v>
      </c>
      <c r="Y58">
        <v>45292.033333333333</v>
      </c>
      <c r="Z58">
        <v>47087.6</v>
      </c>
      <c r="AA58">
        <v>48156.5</v>
      </c>
      <c r="AB58">
        <v>47783.833333333343</v>
      </c>
      <c r="AC58">
        <v>46940.966666666667</v>
      </c>
      <c r="AD58">
        <v>43451.76666666667</v>
      </c>
      <c r="AE58">
        <v>45209.9</v>
      </c>
      <c r="AF58">
        <v>44538.633333333331</v>
      </c>
      <c r="AG58">
        <v>45701.433333333327</v>
      </c>
      <c r="AH58">
        <v>47952.133333333331</v>
      </c>
      <c r="AI58">
        <v>47917.8</v>
      </c>
      <c r="AJ58">
        <v>38412.066666666673</v>
      </c>
      <c r="AK58">
        <v>46350.633333333331</v>
      </c>
      <c r="AL58">
        <v>46640.533333333333</v>
      </c>
      <c r="AM58">
        <v>43818.73333333333</v>
      </c>
      <c r="AN58">
        <v>44938.76666666667</v>
      </c>
      <c r="AO58">
        <v>45137.3</v>
      </c>
      <c r="AP58">
        <v>96325.333333333328</v>
      </c>
      <c r="AQ58">
        <v>93796.266666666663</v>
      </c>
      <c r="AR58">
        <v>97131.46666666666</v>
      </c>
      <c r="AS58">
        <v>96087.7</v>
      </c>
      <c r="AT58">
        <v>85162.5</v>
      </c>
      <c r="AU58">
        <v>98091.933333333334</v>
      </c>
      <c r="AV58">
        <v>94944.9</v>
      </c>
      <c r="AW58">
        <v>98013.233333333337</v>
      </c>
      <c r="AX58">
        <v>101260.3666666667</v>
      </c>
      <c r="AY58">
        <v>88954.96666666666</v>
      </c>
      <c r="AZ58">
        <v>92617.566666666666</v>
      </c>
      <c r="BA58">
        <v>84841.3</v>
      </c>
      <c r="BB58">
        <v>95308.566666666666</v>
      </c>
      <c r="BC58">
        <v>95840.6</v>
      </c>
      <c r="BD58">
        <v>91344.666666666672</v>
      </c>
      <c r="BE58">
        <v>92590.3</v>
      </c>
      <c r="BF58">
        <v>96038.6</v>
      </c>
      <c r="BG58">
        <v>97355.199999999997</v>
      </c>
      <c r="BH58">
        <v>86628</v>
      </c>
      <c r="BI58">
        <v>97066</v>
      </c>
    </row>
    <row r="59" spans="1:61" ht="15" customHeight="1" x14ac:dyDescent="0.25">
      <c r="A59" s="1" t="s">
        <v>12</v>
      </c>
      <c r="B59">
        <v>6909.1</v>
      </c>
      <c r="C59">
        <v>6843.1333333333332</v>
      </c>
      <c r="D59">
        <v>6714.7666666666664</v>
      </c>
      <c r="E59">
        <v>6987.0333333333338</v>
      </c>
      <c r="F59">
        <v>6921.166666666667</v>
      </c>
      <c r="G59">
        <v>6823.9666666666662</v>
      </c>
      <c r="H59">
        <v>6812.3666666666668</v>
      </c>
      <c r="I59">
        <v>6830.5666666666666</v>
      </c>
      <c r="J59">
        <v>6645.3666666666668</v>
      </c>
      <c r="K59">
        <v>6753.4333333333334</v>
      </c>
      <c r="L59">
        <v>6844.9</v>
      </c>
      <c r="M59">
        <v>6188.5666666666666</v>
      </c>
      <c r="N59">
        <v>6860.5333333333338</v>
      </c>
      <c r="O59">
        <v>6909.5666666666666</v>
      </c>
      <c r="P59">
        <v>6824.4</v>
      </c>
      <c r="Q59">
        <v>6513.5333333333338</v>
      </c>
      <c r="R59">
        <v>6408.666666666667</v>
      </c>
      <c r="S59">
        <v>6893.4</v>
      </c>
      <c r="T59">
        <v>5947.3</v>
      </c>
      <c r="U59">
        <v>6450.4333333333334</v>
      </c>
      <c r="V59">
        <v>48064.800000000003</v>
      </c>
      <c r="W59">
        <v>44234.76666666667</v>
      </c>
      <c r="X59">
        <v>46523.9</v>
      </c>
      <c r="Y59">
        <v>46338.133333333331</v>
      </c>
      <c r="Z59">
        <v>45043.433333333327</v>
      </c>
      <c r="AA59">
        <v>47468.533333333333</v>
      </c>
      <c r="AB59">
        <v>45830.633333333331</v>
      </c>
      <c r="AC59">
        <v>45935.166666666657</v>
      </c>
      <c r="AD59">
        <v>46391.73333333333</v>
      </c>
      <c r="AE59">
        <v>41479.300000000003</v>
      </c>
      <c r="AF59">
        <v>45989.666666666657</v>
      </c>
      <c r="AG59">
        <v>43258.033333333333</v>
      </c>
      <c r="AH59">
        <v>44356.533333333333</v>
      </c>
      <c r="AI59">
        <v>43248.433333333327</v>
      </c>
      <c r="AJ59">
        <v>42950.966666666667</v>
      </c>
      <c r="AK59">
        <v>46972.73333333333</v>
      </c>
      <c r="AL59">
        <v>43256.133333333331</v>
      </c>
      <c r="AM59">
        <v>47142.666666666657</v>
      </c>
      <c r="AN59">
        <v>46035.933333333327</v>
      </c>
      <c r="AO59">
        <v>43336.7</v>
      </c>
      <c r="AP59">
        <v>98309.9</v>
      </c>
      <c r="AQ59">
        <v>99522.333333333328</v>
      </c>
      <c r="AR59">
        <v>94581.1</v>
      </c>
      <c r="AS59">
        <v>95408.53333333334</v>
      </c>
      <c r="AT59">
        <v>98028.566666666666</v>
      </c>
      <c r="AU59">
        <v>96814.633333333331</v>
      </c>
      <c r="AV59">
        <v>83769.3</v>
      </c>
      <c r="AW59">
        <v>91460.166666666672</v>
      </c>
      <c r="AX59">
        <v>96945.1</v>
      </c>
      <c r="AY59">
        <v>90561.5</v>
      </c>
      <c r="AZ59">
        <v>92055.366666666669</v>
      </c>
      <c r="BA59">
        <v>98852.1</v>
      </c>
      <c r="BB59">
        <v>85319.6</v>
      </c>
      <c r="BC59">
        <v>98964.233333333337</v>
      </c>
      <c r="BD59">
        <v>94478.666666666672</v>
      </c>
      <c r="BE59">
        <v>97343.433333333334</v>
      </c>
      <c r="BF59">
        <v>92053.066666666666</v>
      </c>
      <c r="BG59">
        <v>98220.800000000003</v>
      </c>
      <c r="BH59">
        <v>89985</v>
      </c>
      <c r="BI59">
        <v>94700.266666666663</v>
      </c>
    </row>
    <row r="60" spans="1:61" x14ac:dyDescent="0.25">
      <c r="A60" t="s">
        <v>13</v>
      </c>
      <c r="B60">
        <v>6408.4333333333334</v>
      </c>
      <c r="C60">
        <v>6797.4</v>
      </c>
      <c r="D60">
        <v>6327.2333333333336</v>
      </c>
      <c r="E60">
        <v>6916.1333333333332</v>
      </c>
      <c r="F60">
        <v>6882.1333333333332</v>
      </c>
      <c r="G60">
        <v>7105.6333333333332</v>
      </c>
      <c r="H60">
        <v>6550.7333333333336</v>
      </c>
      <c r="I60">
        <v>6879.833333333333</v>
      </c>
      <c r="J60">
        <v>6830.666666666667</v>
      </c>
      <c r="K60">
        <v>6875.7666666666664</v>
      </c>
      <c r="L60">
        <v>7134.4</v>
      </c>
      <c r="M60">
        <v>6589.333333333333</v>
      </c>
      <c r="N60">
        <v>6694</v>
      </c>
      <c r="O60">
        <v>6495.5</v>
      </c>
      <c r="P60">
        <v>7024.9666666666662</v>
      </c>
      <c r="Q60">
        <v>6397.666666666667</v>
      </c>
      <c r="R60">
        <v>6682.7</v>
      </c>
      <c r="S60">
        <v>7024.1</v>
      </c>
      <c r="T60">
        <v>6982.1</v>
      </c>
      <c r="U60">
        <v>6934.3666666666668</v>
      </c>
      <c r="V60">
        <v>45585.666666666657</v>
      </c>
      <c r="W60">
        <v>45942.933333333327</v>
      </c>
      <c r="X60">
        <v>43327.5</v>
      </c>
      <c r="Y60">
        <v>45840.433333333327</v>
      </c>
      <c r="Z60">
        <v>39980.9</v>
      </c>
      <c r="AA60">
        <v>44608.73333333333</v>
      </c>
      <c r="AB60">
        <v>47196.5</v>
      </c>
      <c r="AC60">
        <v>45917.2</v>
      </c>
      <c r="AD60">
        <v>46469.533333333333</v>
      </c>
      <c r="AE60">
        <v>44664.533333333333</v>
      </c>
      <c r="AF60">
        <v>47346.866666666669</v>
      </c>
      <c r="AG60">
        <v>46625.866666666669</v>
      </c>
      <c r="AH60">
        <v>47004.533333333333</v>
      </c>
      <c r="AI60">
        <v>46497</v>
      </c>
      <c r="AJ60">
        <v>48666.26666666667</v>
      </c>
      <c r="AK60">
        <v>44568.066666666673</v>
      </c>
      <c r="AL60">
        <v>46696.966666666667</v>
      </c>
      <c r="AM60">
        <v>44508.166666666657</v>
      </c>
      <c r="AN60">
        <v>43789.5</v>
      </c>
      <c r="AO60">
        <v>47728.166666666657</v>
      </c>
      <c r="AP60">
        <v>95454.666666666672</v>
      </c>
      <c r="AQ60">
        <v>98181.933333333334</v>
      </c>
      <c r="AR60">
        <v>96080.166666666672</v>
      </c>
      <c r="AS60">
        <v>96190.566666666666</v>
      </c>
      <c r="AT60">
        <v>86734.03333333334</v>
      </c>
      <c r="AU60">
        <v>94189.766666666663</v>
      </c>
      <c r="AV60">
        <v>88735.733333333337</v>
      </c>
      <c r="AW60">
        <v>96380.833333333328</v>
      </c>
      <c r="AX60">
        <v>92428.733333333337</v>
      </c>
      <c r="AY60">
        <v>97716.7</v>
      </c>
      <c r="AZ60">
        <v>98177.7</v>
      </c>
      <c r="BA60">
        <v>93486.266666666663</v>
      </c>
      <c r="BB60">
        <v>100700.26666666671</v>
      </c>
      <c r="BC60">
        <v>93217.8</v>
      </c>
      <c r="BD60">
        <v>95025.3</v>
      </c>
      <c r="BE60">
        <v>93850.066666666666</v>
      </c>
      <c r="BF60">
        <v>96879.166666666672</v>
      </c>
      <c r="BG60">
        <v>99707.46666666666</v>
      </c>
      <c r="BH60">
        <v>99759.3</v>
      </c>
      <c r="BI60">
        <v>83494.333333333328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I60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2" width="10" customWidth="1"/>
    <col min="3" max="3" width="20" customWidth="1"/>
    <col min="4" max="4" width="11" customWidth="1"/>
    <col min="5" max="5" width="10" customWidth="1"/>
    <col min="6" max="6" width="20" customWidth="1"/>
    <col min="7" max="10" width="9" customWidth="1"/>
    <col min="11" max="11" width="8" customWidth="1"/>
    <col min="12" max="22" width="9" customWidth="1"/>
    <col min="23" max="24" width="10" customWidth="1"/>
    <col min="25" max="25" width="9" customWidth="1"/>
    <col min="26" max="26" width="10" customWidth="1"/>
    <col min="27" max="27" width="9" customWidth="1"/>
    <col min="28" max="29" width="10" customWidth="1"/>
    <col min="30" max="30" width="9" customWidth="1"/>
    <col min="31" max="61" width="10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16798.849999999999</v>
      </c>
      <c r="D2">
        <v>0</v>
      </c>
      <c r="E2">
        <v>52462</v>
      </c>
      <c r="F2">
        <v>14851.637415702689</v>
      </c>
    </row>
    <row r="3" spans="1:6" x14ac:dyDescent="0.25">
      <c r="A3" t="s">
        <v>6</v>
      </c>
      <c r="B3">
        <v>2</v>
      </c>
      <c r="C3">
        <v>76953.95</v>
      </c>
      <c r="D3">
        <v>0</v>
      </c>
      <c r="E3">
        <v>310510</v>
      </c>
      <c r="F3">
        <v>85486.185219294348</v>
      </c>
    </row>
    <row r="4" spans="1:6" x14ac:dyDescent="0.25">
      <c r="A4" t="s">
        <v>6</v>
      </c>
      <c r="B4">
        <v>3</v>
      </c>
      <c r="C4">
        <v>191661.55</v>
      </c>
      <c r="D4">
        <v>2111</v>
      </c>
      <c r="E4">
        <v>710486</v>
      </c>
      <c r="F4">
        <v>170025.95375191249</v>
      </c>
    </row>
    <row r="5" spans="1:6" x14ac:dyDescent="0.25">
      <c r="A5" t="s">
        <v>7</v>
      </c>
      <c r="B5">
        <v>1</v>
      </c>
      <c r="C5">
        <v>15956.65</v>
      </c>
      <c r="D5">
        <v>0</v>
      </c>
      <c r="E5">
        <v>44651</v>
      </c>
      <c r="F5">
        <v>13195.68082470548</v>
      </c>
    </row>
    <row r="6" spans="1:6" x14ac:dyDescent="0.25">
      <c r="A6" t="s">
        <v>7</v>
      </c>
      <c r="B6">
        <v>2</v>
      </c>
      <c r="C6">
        <v>73540.3</v>
      </c>
      <c r="D6">
        <v>0</v>
      </c>
      <c r="E6">
        <v>191626</v>
      </c>
      <c r="F6">
        <v>51739.557898285137</v>
      </c>
    </row>
    <row r="7" spans="1:6" x14ac:dyDescent="0.25">
      <c r="A7" t="s">
        <v>7</v>
      </c>
      <c r="B7">
        <v>3</v>
      </c>
      <c r="C7">
        <v>138293.35</v>
      </c>
      <c r="D7">
        <v>19392</v>
      </c>
      <c r="E7">
        <v>309968</v>
      </c>
      <c r="F7">
        <v>84696.697344273693</v>
      </c>
    </row>
    <row r="8" spans="1:6" x14ac:dyDescent="0.25">
      <c r="A8" t="s">
        <v>8</v>
      </c>
      <c r="B8">
        <v>1</v>
      </c>
      <c r="C8">
        <v>0</v>
      </c>
      <c r="D8">
        <v>0</v>
      </c>
      <c r="E8">
        <v>0</v>
      </c>
      <c r="F8">
        <v>0</v>
      </c>
    </row>
    <row r="9" spans="1:6" x14ac:dyDescent="0.25">
      <c r="A9" t="s">
        <v>8</v>
      </c>
      <c r="B9">
        <v>2</v>
      </c>
      <c r="C9">
        <v>1167</v>
      </c>
      <c r="D9">
        <v>1167</v>
      </c>
      <c r="E9">
        <v>1167</v>
      </c>
      <c r="F9">
        <v>0</v>
      </c>
    </row>
    <row r="10" spans="1:6" x14ac:dyDescent="0.25">
      <c r="A10" t="s">
        <v>8</v>
      </c>
      <c r="B10">
        <v>3</v>
      </c>
      <c r="C10">
        <v>36951</v>
      </c>
      <c r="D10">
        <v>36951</v>
      </c>
      <c r="E10">
        <v>36951</v>
      </c>
      <c r="F10">
        <v>0</v>
      </c>
    </row>
    <row r="11" spans="1:6" x14ac:dyDescent="0.25">
      <c r="A11" t="s">
        <v>9</v>
      </c>
      <c r="B11">
        <v>1</v>
      </c>
      <c r="C11">
        <v>6447.65</v>
      </c>
      <c r="D11">
        <v>0</v>
      </c>
      <c r="E11">
        <v>20143</v>
      </c>
      <c r="F11">
        <v>7260.0314618808643</v>
      </c>
    </row>
    <row r="12" spans="1:6" ht="15" customHeight="1" x14ac:dyDescent="0.25">
      <c r="A12" s="1" t="s">
        <v>9</v>
      </c>
      <c r="B12">
        <v>2</v>
      </c>
      <c r="C12">
        <v>40404</v>
      </c>
      <c r="D12">
        <v>0</v>
      </c>
      <c r="E12">
        <v>193267</v>
      </c>
      <c r="F12">
        <v>51437.868393820521</v>
      </c>
    </row>
    <row r="13" spans="1:6" x14ac:dyDescent="0.25">
      <c r="A13" t="s">
        <v>9</v>
      </c>
      <c r="B13">
        <v>3</v>
      </c>
      <c r="C13">
        <v>98142.6</v>
      </c>
      <c r="D13">
        <v>0</v>
      </c>
      <c r="E13">
        <v>410594</v>
      </c>
      <c r="F13">
        <v>93090.785626935176</v>
      </c>
    </row>
    <row r="14" spans="1:6" x14ac:dyDescent="0.25">
      <c r="A14" t="s">
        <v>10</v>
      </c>
      <c r="B14">
        <v>1</v>
      </c>
      <c r="C14">
        <v>2952.7</v>
      </c>
      <c r="D14">
        <v>0</v>
      </c>
      <c r="E14">
        <v>12326</v>
      </c>
      <c r="F14">
        <v>4380.9399117084449</v>
      </c>
    </row>
    <row r="15" spans="1:6" x14ac:dyDescent="0.25">
      <c r="A15" t="s">
        <v>10</v>
      </c>
      <c r="B15">
        <v>2</v>
      </c>
      <c r="C15">
        <v>41338</v>
      </c>
      <c r="D15">
        <v>0</v>
      </c>
      <c r="E15">
        <v>149668</v>
      </c>
      <c r="F15">
        <v>47650.932483006043</v>
      </c>
    </row>
    <row r="16" spans="1:6" x14ac:dyDescent="0.25">
      <c r="A16" t="s">
        <v>10</v>
      </c>
      <c r="B16">
        <v>3</v>
      </c>
      <c r="C16">
        <v>86921.8</v>
      </c>
      <c r="D16">
        <v>18525</v>
      </c>
      <c r="E16">
        <v>267993</v>
      </c>
      <c r="F16">
        <v>69244.991879990863</v>
      </c>
    </row>
    <row r="17" spans="1:6" x14ac:dyDescent="0.25">
      <c r="A17" t="s">
        <v>11</v>
      </c>
      <c r="B17">
        <v>1</v>
      </c>
      <c r="C17">
        <v>5109.8500000000004</v>
      </c>
      <c r="D17">
        <v>0</v>
      </c>
      <c r="E17">
        <v>11492</v>
      </c>
      <c r="F17">
        <v>4918.4264584824277</v>
      </c>
    </row>
    <row r="18" spans="1:6" x14ac:dyDescent="0.25">
      <c r="A18" t="s">
        <v>11</v>
      </c>
      <c r="B18">
        <v>2</v>
      </c>
      <c r="C18">
        <v>36767.65</v>
      </c>
      <c r="D18">
        <v>0</v>
      </c>
      <c r="E18">
        <v>202743</v>
      </c>
      <c r="F18">
        <v>49638.468267337783</v>
      </c>
    </row>
    <row r="19" spans="1:6" x14ac:dyDescent="0.25">
      <c r="A19" t="s">
        <v>11</v>
      </c>
      <c r="B19">
        <v>3</v>
      </c>
      <c r="C19">
        <v>112959.65</v>
      </c>
      <c r="D19">
        <v>0</v>
      </c>
      <c r="E19">
        <v>381002</v>
      </c>
      <c r="F19">
        <v>108628.0727078756</v>
      </c>
    </row>
    <row r="20" spans="1:6" ht="15" customHeight="1" x14ac:dyDescent="0.25">
      <c r="A20" s="1" t="s">
        <v>12</v>
      </c>
      <c r="B20">
        <v>1</v>
      </c>
      <c r="C20">
        <v>4183.1499999999996</v>
      </c>
      <c r="D20">
        <v>0</v>
      </c>
      <c r="E20">
        <v>22659</v>
      </c>
      <c r="F20">
        <v>6963.969954523066</v>
      </c>
    </row>
    <row r="21" spans="1:6" x14ac:dyDescent="0.25">
      <c r="A21" t="s">
        <v>12</v>
      </c>
      <c r="B21">
        <v>2</v>
      </c>
      <c r="C21">
        <v>41144.15</v>
      </c>
      <c r="D21">
        <v>0</v>
      </c>
      <c r="E21">
        <v>137327</v>
      </c>
      <c r="F21">
        <v>50886.235897612831</v>
      </c>
    </row>
    <row r="22" spans="1:6" x14ac:dyDescent="0.25">
      <c r="A22" t="s">
        <v>12</v>
      </c>
      <c r="B22">
        <v>3</v>
      </c>
      <c r="C22">
        <v>97490.65</v>
      </c>
      <c r="D22">
        <v>0</v>
      </c>
      <c r="E22">
        <v>395744</v>
      </c>
      <c r="F22">
        <v>105366.8364274429</v>
      </c>
    </row>
    <row r="23" spans="1:6" ht="15" customHeight="1" x14ac:dyDescent="0.25">
      <c r="A23" s="1" t="s">
        <v>13</v>
      </c>
      <c r="B23">
        <v>1</v>
      </c>
      <c r="C23">
        <v>5134.8500000000004</v>
      </c>
      <c r="D23">
        <v>0</v>
      </c>
      <c r="E23">
        <v>20401</v>
      </c>
      <c r="F23">
        <v>5922.3017507975728</v>
      </c>
    </row>
    <row r="24" spans="1:6" x14ac:dyDescent="0.25">
      <c r="A24" t="s">
        <v>13</v>
      </c>
      <c r="B24">
        <v>2</v>
      </c>
      <c r="C24">
        <v>33236.75</v>
      </c>
      <c r="D24">
        <v>0</v>
      </c>
      <c r="E24">
        <v>138226</v>
      </c>
      <c r="F24">
        <v>34322.161765942132</v>
      </c>
    </row>
    <row r="25" spans="1:6" x14ac:dyDescent="0.25">
      <c r="A25" t="s">
        <v>13</v>
      </c>
      <c r="B25">
        <v>3</v>
      </c>
      <c r="C25">
        <v>106696.85</v>
      </c>
      <c r="D25">
        <v>0</v>
      </c>
      <c r="E25">
        <v>479435</v>
      </c>
      <c r="F25">
        <v>111381.82280393651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95138.116666666669</v>
      </c>
      <c r="D29">
        <v>0</v>
      </c>
      <c r="E29">
        <v>710486</v>
      </c>
      <c r="F29">
        <v>131936.55261552701</v>
      </c>
    </row>
    <row r="30" spans="1:6" x14ac:dyDescent="0.25">
      <c r="A30" t="s">
        <v>7</v>
      </c>
      <c r="C30">
        <v>75930.100000000006</v>
      </c>
      <c r="D30">
        <v>0</v>
      </c>
      <c r="E30">
        <v>309968</v>
      </c>
      <c r="F30">
        <v>76411.908287626648</v>
      </c>
    </row>
    <row r="31" spans="1:6" ht="15" customHeight="1" x14ac:dyDescent="0.25">
      <c r="A31" s="1" t="s">
        <v>8</v>
      </c>
      <c r="C31">
        <v>12706</v>
      </c>
      <c r="D31">
        <v>0</v>
      </c>
      <c r="E31">
        <v>36951</v>
      </c>
      <c r="F31">
        <v>17150.422560391911</v>
      </c>
    </row>
    <row r="32" spans="1:6" x14ac:dyDescent="0.25">
      <c r="A32" t="s">
        <v>9</v>
      </c>
      <c r="C32">
        <v>48331.416666666657</v>
      </c>
      <c r="D32">
        <v>0</v>
      </c>
      <c r="E32">
        <v>410594</v>
      </c>
      <c r="F32">
        <v>72255.80613493784</v>
      </c>
    </row>
    <row r="33" spans="1:6" x14ac:dyDescent="0.25">
      <c r="A33" t="s">
        <v>10</v>
      </c>
      <c r="C33">
        <v>43737.5</v>
      </c>
      <c r="D33">
        <v>0</v>
      </c>
      <c r="E33">
        <v>267993</v>
      </c>
      <c r="F33">
        <v>59494.297147569807</v>
      </c>
    </row>
    <row r="34" spans="1:6" x14ac:dyDescent="0.25">
      <c r="A34" t="s">
        <v>11</v>
      </c>
      <c r="C34">
        <v>51612.383333333331</v>
      </c>
      <c r="D34">
        <v>0</v>
      </c>
      <c r="E34">
        <v>381002</v>
      </c>
      <c r="F34">
        <v>82531.94426525438</v>
      </c>
    </row>
    <row r="35" spans="1:6" ht="15" customHeight="1" x14ac:dyDescent="0.25">
      <c r="A35" s="1" t="s">
        <v>12</v>
      </c>
      <c r="C35">
        <v>47605.98333333333</v>
      </c>
      <c r="D35">
        <v>0</v>
      </c>
      <c r="E35">
        <v>395744</v>
      </c>
      <c r="F35">
        <v>77794.288164897138</v>
      </c>
    </row>
    <row r="36" spans="1:6" ht="15" customHeight="1" x14ac:dyDescent="0.25">
      <c r="A36" s="1" t="s">
        <v>13</v>
      </c>
      <c r="C36">
        <v>48356.15</v>
      </c>
      <c r="D36">
        <v>0</v>
      </c>
      <c r="E36">
        <v>479435</v>
      </c>
      <c r="F36">
        <v>79831.717180542764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16798.849999999999</v>
      </c>
      <c r="C41">
        <v>76953.95</v>
      </c>
      <c r="D41">
        <v>191661.55</v>
      </c>
    </row>
    <row r="42" spans="1:6" x14ac:dyDescent="0.25">
      <c r="A42" t="s">
        <v>7</v>
      </c>
      <c r="B42">
        <v>15956.65</v>
      </c>
      <c r="C42">
        <v>73540.3</v>
      </c>
      <c r="D42">
        <v>138293.35</v>
      </c>
    </row>
    <row r="43" spans="1:6" ht="15" customHeight="1" x14ac:dyDescent="0.25">
      <c r="A43" s="1" t="s">
        <v>8</v>
      </c>
      <c r="B43">
        <v>0</v>
      </c>
      <c r="C43">
        <v>1167</v>
      </c>
      <c r="D43">
        <v>36951</v>
      </c>
    </row>
    <row r="44" spans="1:6" x14ac:dyDescent="0.25">
      <c r="A44" t="s">
        <v>9</v>
      </c>
      <c r="B44">
        <v>6447.65</v>
      </c>
      <c r="C44">
        <v>40404</v>
      </c>
      <c r="D44">
        <v>98142.6</v>
      </c>
    </row>
    <row r="45" spans="1:6" x14ac:dyDescent="0.25">
      <c r="A45" t="s">
        <v>10</v>
      </c>
      <c r="B45">
        <v>2952.7</v>
      </c>
      <c r="C45">
        <v>41338</v>
      </c>
      <c r="D45">
        <v>86921.8</v>
      </c>
    </row>
    <row r="46" spans="1:6" x14ac:dyDescent="0.25">
      <c r="A46" t="s">
        <v>11</v>
      </c>
      <c r="B46">
        <v>5109.8500000000004</v>
      </c>
      <c r="C46">
        <v>36767.65</v>
      </c>
      <c r="D46">
        <v>112959.65</v>
      </c>
    </row>
    <row r="47" spans="1:6" ht="15" customHeight="1" x14ac:dyDescent="0.25">
      <c r="A47" s="1" t="s">
        <v>12</v>
      </c>
      <c r="B47">
        <v>4183.1499999999996</v>
      </c>
      <c r="C47">
        <v>41144.15</v>
      </c>
      <c r="D47">
        <v>97490.65</v>
      </c>
    </row>
    <row r="48" spans="1:6" x14ac:dyDescent="0.25">
      <c r="A48" t="s">
        <v>13</v>
      </c>
      <c r="B48">
        <v>5134.8500000000004</v>
      </c>
      <c r="C48">
        <v>33236.75</v>
      </c>
      <c r="D48">
        <v>106696.85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52462</v>
      </c>
      <c r="C53">
        <v>23980</v>
      </c>
      <c r="D53">
        <v>0</v>
      </c>
      <c r="E53">
        <v>18605</v>
      </c>
      <c r="F53">
        <v>9891</v>
      </c>
      <c r="G53">
        <v>0</v>
      </c>
      <c r="H53">
        <v>41085</v>
      </c>
      <c r="I53">
        <v>22255</v>
      </c>
      <c r="J53">
        <v>9846</v>
      </c>
      <c r="K53">
        <v>0</v>
      </c>
      <c r="L53">
        <v>20157</v>
      </c>
      <c r="M53">
        <v>563</v>
      </c>
      <c r="N53">
        <v>42809</v>
      </c>
      <c r="O53">
        <v>10510</v>
      </c>
      <c r="P53">
        <v>13659</v>
      </c>
      <c r="Q53">
        <v>14916</v>
      </c>
      <c r="R53">
        <v>12146</v>
      </c>
      <c r="S53">
        <v>30744</v>
      </c>
      <c r="T53">
        <v>12349</v>
      </c>
      <c r="U53">
        <v>0</v>
      </c>
      <c r="V53">
        <v>189</v>
      </c>
      <c r="W53">
        <v>310510</v>
      </c>
      <c r="X53">
        <v>4488</v>
      </c>
      <c r="Y53">
        <v>0</v>
      </c>
      <c r="Z53">
        <v>66099</v>
      </c>
      <c r="AA53">
        <v>80075</v>
      </c>
      <c r="AB53">
        <v>2754</v>
      </c>
      <c r="AC53">
        <v>92814</v>
      </c>
      <c r="AD53">
        <v>57450</v>
      </c>
      <c r="AE53">
        <v>54663</v>
      </c>
      <c r="AF53">
        <v>0</v>
      </c>
      <c r="AG53">
        <v>0</v>
      </c>
      <c r="AH53">
        <v>100623</v>
      </c>
      <c r="AI53">
        <v>150213</v>
      </c>
      <c r="AJ53">
        <v>64412</v>
      </c>
      <c r="AK53">
        <v>209840</v>
      </c>
      <c r="AL53">
        <v>1625</v>
      </c>
      <c r="AM53">
        <v>236346</v>
      </c>
      <c r="AN53">
        <v>50960</v>
      </c>
      <c r="AO53">
        <v>56018</v>
      </c>
      <c r="AP53">
        <v>109538</v>
      </c>
      <c r="AQ53">
        <v>295194</v>
      </c>
      <c r="AR53">
        <v>710486</v>
      </c>
      <c r="AS53">
        <v>110363</v>
      </c>
      <c r="AT53">
        <v>61105</v>
      </c>
      <c r="AU53">
        <v>255332</v>
      </c>
      <c r="AV53">
        <v>49063</v>
      </c>
      <c r="AW53">
        <v>115690</v>
      </c>
      <c r="AX53">
        <v>43438</v>
      </c>
      <c r="AY53">
        <v>305536</v>
      </c>
      <c r="AZ53">
        <v>386740</v>
      </c>
      <c r="BA53">
        <v>373590</v>
      </c>
      <c r="BB53">
        <v>226862</v>
      </c>
      <c r="BC53">
        <v>7213</v>
      </c>
      <c r="BD53">
        <v>6151</v>
      </c>
      <c r="BE53">
        <v>194510</v>
      </c>
      <c r="BF53">
        <v>143213</v>
      </c>
      <c r="BG53">
        <v>323961</v>
      </c>
      <c r="BH53">
        <v>2111</v>
      </c>
      <c r="BI53">
        <v>113135</v>
      </c>
    </row>
    <row r="54" spans="1:61" x14ac:dyDescent="0.25">
      <c r="A54" t="s">
        <v>7</v>
      </c>
      <c r="B54">
        <v>9009</v>
      </c>
      <c r="C54">
        <v>19918</v>
      </c>
      <c r="D54">
        <v>0</v>
      </c>
      <c r="E54">
        <v>21360</v>
      </c>
      <c r="F54">
        <v>0</v>
      </c>
      <c r="G54">
        <v>19218</v>
      </c>
      <c r="H54">
        <v>18201</v>
      </c>
      <c r="I54">
        <v>31918</v>
      </c>
      <c r="J54">
        <v>20593</v>
      </c>
      <c r="K54">
        <v>9109</v>
      </c>
      <c r="L54">
        <v>22618</v>
      </c>
      <c r="M54">
        <v>0</v>
      </c>
      <c r="N54">
        <v>44651</v>
      </c>
      <c r="O54">
        <v>0</v>
      </c>
      <c r="P54">
        <v>28560</v>
      </c>
      <c r="Q54">
        <v>38052</v>
      </c>
      <c r="R54">
        <v>0</v>
      </c>
      <c r="S54">
        <v>18034</v>
      </c>
      <c r="T54">
        <v>0</v>
      </c>
      <c r="U54">
        <v>17892</v>
      </c>
      <c r="V54">
        <v>72026</v>
      </c>
      <c r="W54">
        <v>31401</v>
      </c>
      <c r="X54">
        <v>51009</v>
      </c>
      <c r="Y54">
        <v>32684</v>
      </c>
      <c r="Z54">
        <v>114725</v>
      </c>
      <c r="AA54">
        <v>95176</v>
      </c>
      <c r="AB54">
        <v>136351</v>
      </c>
      <c r="AC54">
        <v>191626</v>
      </c>
      <c r="AD54">
        <v>86468</v>
      </c>
      <c r="AE54">
        <v>35584</v>
      </c>
      <c r="AF54">
        <v>25342</v>
      </c>
      <c r="AG54">
        <v>38517</v>
      </c>
      <c r="AH54">
        <v>43601</v>
      </c>
      <c r="AI54">
        <v>111318</v>
      </c>
      <c r="AJ54">
        <v>154984</v>
      </c>
      <c r="AK54">
        <v>76034</v>
      </c>
      <c r="AL54">
        <v>1150</v>
      </c>
      <c r="AM54">
        <v>39335</v>
      </c>
      <c r="AN54">
        <v>133475</v>
      </c>
      <c r="AO54">
        <v>0</v>
      </c>
      <c r="AP54">
        <v>111352</v>
      </c>
      <c r="AQ54">
        <v>19392</v>
      </c>
      <c r="AR54">
        <v>133611</v>
      </c>
      <c r="AS54">
        <v>275985</v>
      </c>
      <c r="AT54">
        <v>74886</v>
      </c>
      <c r="AU54">
        <v>102534</v>
      </c>
      <c r="AV54">
        <v>63576</v>
      </c>
      <c r="AW54">
        <v>161784</v>
      </c>
      <c r="AX54">
        <v>182829</v>
      </c>
      <c r="AY54">
        <v>89353</v>
      </c>
      <c r="AZ54">
        <v>186878</v>
      </c>
      <c r="BA54">
        <v>49593</v>
      </c>
      <c r="BB54">
        <v>45975</v>
      </c>
      <c r="BC54">
        <v>92668</v>
      </c>
      <c r="BD54">
        <v>77742</v>
      </c>
      <c r="BE54">
        <v>309437</v>
      </c>
      <c r="BF54">
        <v>116627</v>
      </c>
      <c r="BG54">
        <v>123992</v>
      </c>
      <c r="BH54">
        <v>309968</v>
      </c>
      <c r="BI54">
        <v>237685</v>
      </c>
    </row>
    <row r="55" spans="1:61" x14ac:dyDescent="0.25">
      <c r="A55" t="s">
        <v>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1167</v>
      </c>
      <c r="W55">
        <v>1167</v>
      </c>
      <c r="X55">
        <v>1167</v>
      </c>
      <c r="Y55">
        <v>1167</v>
      </c>
      <c r="Z55">
        <v>1167</v>
      </c>
      <c r="AA55">
        <v>1167</v>
      </c>
      <c r="AB55">
        <v>1167</v>
      </c>
      <c r="AC55">
        <v>1167</v>
      </c>
      <c r="AD55">
        <v>1167</v>
      </c>
      <c r="AE55">
        <v>1167</v>
      </c>
      <c r="AF55">
        <v>1167</v>
      </c>
      <c r="AG55">
        <v>1167</v>
      </c>
      <c r="AH55">
        <v>1167</v>
      </c>
      <c r="AI55">
        <v>1167</v>
      </c>
      <c r="AJ55">
        <v>1167</v>
      </c>
      <c r="AK55">
        <v>1167</v>
      </c>
      <c r="AL55">
        <v>1167</v>
      </c>
      <c r="AM55">
        <v>1167</v>
      </c>
      <c r="AN55">
        <v>1167</v>
      </c>
      <c r="AO55">
        <v>1167</v>
      </c>
      <c r="AP55">
        <v>36951</v>
      </c>
      <c r="AQ55">
        <v>36951</v>
      </c>
      <c r="AR55">
        <v>36951</v>
      </c>
      <c r="AS55">
        <v>36951</v>
      </c>
      <c r="AT55">
        <v>36951</v>
      </c>
      <c r="AU55">
        <v>36951</v>
      </c>
      <c r="AV55">
        <v>36951</v>
      </c>
      <c r="AW55">
        <v>36951</v>
      </c>
      <c r="AX55">
        <v>36951</v>
      </c>
      <c r="AY55">
        <v>36951</v>
      </c>
      <c r="AZ55">
        <v>36951</v>
      </c>
      <c r="BA55">
        <v>36951</v>
      </c>
      <c r="BB55">
        <v>36951</v>
      </c>
      <c r="BC55">
        <v>36951</v>
      </c>
      <c r="BD55">
        <v>36951</v>
      </c>
      <c r="BE55">
        <v>36951</v>
      </c>
      <c r="BF55">
        <v>36951</v>
      </c>
      <c r="BG55">
        <v>36951</v>
      </c>
      <c r="BH55">
        <v>36951</v>
      </c>
      <c r="BI55">
        <v>36951</v>
      </c>
    </row>
    <row r="56" spans="1:61" x14ac:dyDescent="0.25">
      <c r="A56" t="s">
        <v>9</v>
      </c>
      <c r="B56">
        <v>0</v>
      </c>
      <c r="C56">
        <v>0</v>
      </c>
      <c r="D56">
        <v>8850</v>
      </c>
      <c r="E56">
        <v>0</v>
      </c>
      <c r="F56">
        <v>0</v>
      </c>
      <c r="G56">
        <v>0</v>
      </c>
      <c r="H56">
        <v>11525</v>
      </c>
      <c r="I56">
        <v>0</v>
      </c>
      <c r="J56">
        <v>17675</v>
      </c>
      <c r="K56">
        <v>0</v>
      </c>
      <c r="L56">
        <v>0</v>
      </c>
      <c r="M56">
        <v>9025</v>
      </c>
      <c r="N56">
        <v>17567</v>
      </c>
      <c r="O56">
        <v>0</v>
      </c>
      <c r="P56">
        <v>17850</v>
      </c>
      <c r="Q56">
        <v>20143</v>
      </c>
      <c r="R56">
        <v>9067</v>
      </c>
      <c r="S56">
        <v>5742</v>
      </c>
      <c r="T56">
        <v>11509</v>
      </c>
      <c r="U56">
        <v>0</v>
      </c>
      <c r="V56">
        <v>34325</v>
      </c>
      <c r="W56">
        <v>37000</v>
      </c>
      <c r="X56">
        <v>193267</v>
      </c>
      <c r="Y56">
        <v>0</v>
      </c>
      <c r="Z56">
        <v>47025</v>
      </c>
      <c r="AA56">
        <v>0</v>
      </c>
      <c r="AB56">
        <v>859</v>
      </c>
      <c r="AC56">
        <v>60950</v>
      </c>
      <c r="AD56">
        <v>0</v>
      </c>
      <c r="AE56">
        <v>41142</v>
      </c>
      <c r="AF56">
        <v>825</v>
      </c>
      <c r="AG56">
        <v>0</v>
      </c>
      <c r="AH56">
        <v>842</v>
      </c>
      <c r="AI56">
        <v>88008</v>
      </c>
      <c r="AJ56">
        <v>33792</v>
      </c>
      <c r="AK56">
        <v>135584</v>
      </c>
      <c r="AL56">
        <v>32809</v>
      </c>
      <c r="AM56">
        <v>3218</v>
      </c>
      <c r="AN56">
        <v>0</v>
      </c>
      <c r="AO56">
        <v>98434</v>
      </c>
      <c r="AP56">
        <v>92409</v>
      </c>
      <c r="AQ56">
        <v>82820</v>
      </c>
      <c r="AR56">
        <v>69967</v>
      </c>
      <c r="AS56">
        <v>1835</v>
      </c>
      <c r="AT56">
        <v>148634</v>
      </c>
      <c r="AU56">
        <v>138694</v>
      </c>
      <c r="AV56">
        <v>0</v>
      </c>
      <c r="AW56">
        <v>98600</v>
      </c>
      <c r="AX56">
        <v>53167</v>
      </c>
      <c r="AY56">
        <v>67709</v>
      </c>
      <c r="AZ56">
        <v>57560</v>
      </c>
      <c r="BA56">
        <v>236009</v>
      </c>
      <c r="BB56">
        <v>54360</v>
      </c>
      <c r="BC56">
        <v>2326</v>
      </c>
      <c r="BD56">
        <v>410594</v>
      </c>
      <c r="BE56">
        <v>53311</v>
      </c>
      <c r="BF56">
        <v>109510</v>
      </c>
      <c r="BG56">
        <v>113410</v>
      </c>
      <c r="BH56">
        <v>1826</v>
      </c>
      <c r="BI56">
        <v>170111</v>
      </c>
    </row>
    <row r="57" spans="1:61" x14ac:dyDescent="0.25">
      <c r="A57" t="s">
        <v>10</v>
      </c>
      <c r="B57">
        <v>8867</v>
      </c>
      <c r="C57">
        <v>0</v>
      </c>
      <c r="D57">
        <v>9109</v>
      </c>
      <c r="E57">
        <v>0</v>
      </c>
      <c r="F57">
        <v>0</v>
      </c>
      <c r="G57">
        <v>1184</v>
      </c>
      <c r="H57">
        <v>0</v>
      </c>
      <c r="I57">
        <v>0</v>
      </c>
      <c r="J57">
        <v>0</v>
      </c>
      <c r="K57">
        <v>0</v>
      </c>
      <c r="L57">
        <v>600</v>
      </c>
      <c r="M57">
        <v>8642</v>
      </c>
      <c r="N57">
        <v>0</v>
      </c>
      <c r="O57">
        <v>8759</v>
      </c>
      <c r="P57">
        <v>0</v>
      </c>
      <c r="Q57">
        <v>0</v>
      </c>
      <c r="R57">
        <v>0</v>
      </c>
      <c r="S57">
        <v>0</v>
      </c>
      <c r="T57">
        <v>9567</v>
      </c>
      <c r="U57">
        <v>12326</v>
      </c>
      <c r="V57">
        <v>842</v>
      </c>
      <c r="W57">
        <v>52668</v>
      </c>
      <c r="X57">
        <v>104942</v>
      </c>
      <c r="Y57">
        <v>33084</v>
      </c>
      <c r="Z57">
        <v>149668</v>
      </c>
      <c r="AA57">
        <v>0</v>
      </c>
      <c r="AB57">
        <v>89826</v>
      </c>
      <c r="AC57">
        <v>34325</v>
      </c>
      <c r="AD57">
        <v>0</v>
      </c>
      <c r="AE57">
        <v>567</v>
      </c>
      <c r="AF57">
        <v>130676</v>
      </c>
      <c r="AG57">
        <v>36643</v>
      </c>
      <c r="AH57">
        <v>0</v>
      </c>
      <c r="AI57">
        <v>1100</v>
      </c>
      <c r="AJ57">
        <v>1300</v>
      </c>
      <c r="AK57">
        <v>51009</v>
      </c>
      <c r="AL57">
        <v>35201</v>
      </c>
      <c r="AM57">
        <v>103900</v>
      </c>
      <c r="AN57">
        <v>0</v>
      </c>
      <c r="AO57">
        <v>1009</v>
      </c>
      <c r="AP57">
        <v>110618</v>
      </c>
      <c r="AQ57">
        <v>33950</v>
      </c>
      <c r="AR57">
        <v>203343</v>
      </c>
      <c r="AS57">
        <v>63017</v>
      </c>
      <c r="AT57">
        <v>267993</v>
      </c>
      <c r="AU57">
        <v>219093</v>
      </c>
      <c r="AV57">
        <v>22260</v>
      </c>
      <c r="AW57">
        <v>18525</v>
      </c>
      <c r="AX57">
        <v>43600</v>
      </c>
      <c r="AY57">
        <v>69051</v>
      </c>
      <c r="AZ57">
        <v>77851</v>
      </c>
      <c r="BA57">
        <v>56768</v>
      </c>
      <c r="BB57">
        <v>41475</v>
      </c>
      <c r="BC57">
        <v>30267</v>
      </c>
      <c r="BD57">
        <v>69660</v>
      </c>
      <c r="BE57">
        <v>144134</v>
      </c>
      <c r="BF57">
        <v>66252</v>
      </c>
      <c r="BG57">
        <v>23284</v>
      </c>
      <c r="BH57">
        <v>125878</v>
      </c>
      <c r="BI57">
        <v>51417</v>
      </c>
    </row>
    <row r="58" spans="1:61" x14ac:dyDescent="0.25">
      <c r="A58" t="s">
        <v>11</v>
      </c>
      <c r="B58">
        <v>0</v>
      </c>
      <c r="C58">
        <v>0</v>
      </c>
      <c r="D58">
        <v>0</v>
      </c>
      <c r="E58">
        <v>9067</v>
      </c>
      <c r="F58">
        <v>8759</v>
      </c>
      <c r="G58">
        <v>2525</v>
      </c>
      <c r="H58">
        <v>11492</v>
      </c>
      <c r="I58">
        <v>11134</v>
      </c>
      <c r="J58">
        <v>8867</v>
      </c>
      <c r="K58">
        <v>0</v>
      </c>
      <c r="L58">
        <v>9067</v>
      </c>
      <c r="M58">
        <v>11484</v>
      </c>
      <c r="N58">
        <v>0</v>
      </c>
      <c r="O58">
        <v>0</v>
      </c>
      <c r="P58">
        <v>0</v>
      </c>
      <c r="Q58">
        <v>8659</v>
      </c>
      <c r="R58">
        <v>375</v>
      </c>
      <c r="S58">
        <v>0</v>
      </c>
      <c r="T58">
        <v>9609</v>
      </c>
      <c r="U58">
        <v>11159</v>
      </c>
      <c r="V58">
        <v>76993</v>
      </c>
      <c r="W58">
        <v>200</v>
      </c>
      <c r="X58">
        <v>34392</v>
      </c>
      <c r="Y58">
        <v>1134</v>
      </c>
      <c r="Z58">
        <v>1892</v>
      </c>
      <c r="AA58">
        <v>0</v>
      </c>
      <c r="AB58">
        <v>1892</v>
      </c>
      <c r="AC58">
        <v>0</v>
      </c>
      <c r="AD58">
        <v>75551</v>
      </c>
      <c r="AE58">
        <v>1992</v>
      </c>
      <c r="AF58">
        <v>90776</v>
      </c>
      <c r="AG58">
        <v>36459</v>
      </c>
      <c r="AH58">
        <v>0</v>
      </c>
      <c r="AI58">
        <v>2209</v>
      </c>
      <c r="AJ58">
        <v>202743</v>
      </c>
      <c r="AK58">
        <v>1142</v>
      </c>
      <c r="AL58">
        <v>19275</v>
      </c>
      <c r="AM58">
        <v>76559</v>
      </c>
      <c r="AN58">
        <v>67993</v>
      </c>
      <c r="AO58">
        <v>44151</v>
      </c>
      <c r="AP58">
        <v>47618</v>
      </c>
      <c r="AQ58">
        <v>63651</v>
      </c>
      <c r="AR58">
        <v>0</v>
      </c>
      <c r="AS58">
        <v>113377</v>
      </c>
      <c r="AT58">
        <v>335435</v>
      </c>
      <c r="AU58">
        <v>45559</v>
      </c>
      <c r="AV58">
        <v>109810</v>
      </c>
      <c r="AW58">
        <v>35669</v>
      </c>
      <c r="AX58">
        <v>1909</v>
      </c>
      <c r="AY58">
        <v>234477</v>
      </c>
      <c r="AZ58">
        <v>78809</v>
      </c>
      <c r="BA58">
        <v>381002</v>
      </c>
      <c r="BB58">
        <v>38009</v>
      </c>
      <c r="BC58">
        <v>617</v>
      </c>
      <c r="BD58">
        <v>168619</v>
      </c>
      <c r="BE58">
        <v>175185</v>
      </c>
      <c r="BF58">
        <v>49159</v>
      </c>
      <c r="BG58">
        <v>44859</v>
      </c>
      <c r="BH58">
        <v>258527</v>
      </c>
      <c r="BI58">
        <v>76902</v>
      </c>
    </row>
    <row r="59" spans="1:61" ht="15" customHeight="1" x14ac:dyDescent="0.25">
      <c r="A59" s="1" t="s">
        <v>12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8659</v>
      </c>
      <c r="K59">
        <v>0</v>
      </c>
      <c r="L59">
        <v>0</v>
      </c>
      <c r="M59">
        <v>22659</v>
      </c>
      <c r="N59">
        <v>375</v>
      </c>
      <c r="O59">
        <v>0</v>
      </c>
      <c r="P59">
        <v>0</v>
      </c>
      <c r="Q59">
        <v>11534</v>
      </c>
      <c r="R59">
        <v>11159</v>
      </c>
      <c r="S59">
        <v>600</v>
      </c>
      <c r="T59">
        <v>19918</v>
      </c>
      <c r="U59">
        <v>8759</v>
      </c>
      <c r="V59">
        <v>0</v>
      </c>
      <c r="W59">
        <v>1042</v>
      </c>
      <c r="X59">
        <v>0</v>
      </c>
      <c r="Y59">
        <v>0</v>
      </c>
      <c r="Z59">
        <v>34767</v>
      </c>
      <c r="AA59">
        <v>1009</v>
      </c>
      <c r="AB59">
        <v>642</v>
      </c>
      <c r="AC59">
        <v>0</v>
      </c>
      <c r="AD59">
        <v>0</v>
      </c>
      <c r="AE59">
        <v>113584</v>
      </c>
      <c r="AF59">
        <v>35634</v>
      </c>
      <c r="AG59">
        <v>128600</v>
      </c>
      <c r="AH59">
        <v>67967</v>
      </c>
      <c r="AI59">
        <v>90618</v>
      </c>
      <c r="AJ59">
        <v>137327</v>
      </c>
      <c r="AK59">
        <v>0</v>
      </c>
      <c r="AL59">
        <v>106009</v>
      </c>
      <c r="AM59">
        <v>1142</v>
      </c>
      <c r="AN59">
        <v>642</v>
      </c>
      <c r="AO59">
        <v>103900</v>
      </c>
      <c r="AP59">
        <v>1367</v>
      </c>
      <c r="AQ59">
        <v>46626</v>
      </c>
      <c r="AR59">
        <v>54160</v>
      </c>
      <c r="AS59">
        <v>120976</v>
      </c>
      <c r="AT59">
        <v>2009</v>
      </c>
      <c r="AU59">
        <v>19142</v>
      </c>
      <c r="AV59">
        <v>395744</v>
      </c>
      <c r="AW59">
        <v>125043</v>
      </c>
      <c r="AX59">
        <v>37000</v>
      </c>
      <c r="AY59">
        <v>167319</v>
      </c>
      <c r="AZ59">
        <v>173518</v>
      </c>
      <c r="BA59">
        <v>2634</v>
      </c>
      <c r="BB59">
        <v>299593</v>
      </c>
      <c r="BC59">
        <v>1376</v>
      </c>
      <c r="BD59">
        <v>54327</v>
      </c>
      <c r="BE59">
        <v>0</v>
      </c>
      <c r="BF59">
        <v>165026</v>
      </c>
      <c r="BG59">
        <v>1776</v>
      </c>
      <c r="BH59">
        <v>157368</v>
      </c>
      <c r="BI59">
        <v>124809</v>
      </c>
    </row>
    <row r="60" spans="1:61" x14ac:dyDescent="0.25">
      <c r="A60" t="s">
        <v>13</v>
      </c>
      <c r="B60">
        <v>11484</v>
      </c>
      <c r="C60">
        <v>11525</v>
      </c>
      <c r="D60">
        <v>20401</v>
      </c>
      <c r="E60">
        <v>0</v>
      </c>
      <c r="F60">
        <v>1184</v>
      </c>
      <c r="G60">
        <v>0</v>
      </c>
      <c r="H60">
        <v>9009</v>
      </c>
      <c r="I60">
        <v>0</v>
      </c>
      <c r="J60">
        <v>1159</v>
      </c>
      <c r="K60">
        <v>0</v>
      </c>
      <c r="L60">
        <v>0</v>
      </c>
      <c r="M60">
        <v>8825</v>
      </c>
      <c r="N60">
        <v>9025</v>
      </c>
      <c r="O60">
        <v>11159</v>
      </c>
      <c r="P60">
        <v>0</v>
      </c>
      <c r="Q60">
        <v>10184</v>
      </c>
      <c r="R60">
        <v>8742</v>
      </c>
      <c r="S60">
        <v>0</v>
      </c>
      <c r="T60">
        <v>0</v>
      </c>
      <c r="U60">
        <v>0</v>
      </c>
      <c r="V60">
        <v>0</v>
      </c>
      <c r="W60">
        <v>1134</v>
      </c>
      <c r="X60">
        <v>60417</v>
      </c>
      <c r="Y60">
        <v>31525</v>
      </c>
      <c r="Z60">
        <v>138226</v>
      </c>
      <c r="AA60">
        <v>38242</v>
      </c>
      <c r="AB60">
        <v>1834</v>
      </c>
      <c r="AC60">
        <v>38517</v>
      </c>
      <c r="AD60">
        <v>0</v>
      </c>
      <c r="AE60">
        <v>30542</v>
      </c>
      <c r="AF60">
        <v>37792</v>
      </c>
      <c r="AG60">
        <v>1084</v>
      </c>
      <c r="AH60">
        <v>43442</v>
      </c>
      <c r="AI60">
        <v>2418</v>
      </c>
      <c r="AJ60">
        <v>2376</v>
      </c>
      <c r="AK60">
        <v>53384</v>
      </c>
      <c r="AL60">
        <v>39651</v>
      </c>
      <c r="AM60">
        <v>72042</v>
      </c>
      <c r="AN60">
        <v>71267</v>
      </c>
      <c r="AO60">
        <v>842</v>
      </c>
      <c r="AP60">
        <v>70227</v>
      </c>
      <c r="AQ60">
        <v>1100</v>
      </c>
      <c r="AR60">
        <v>44725</v>
      </c>
      <c r="AS60">
        <v>66259</v>
      </c>
      <c r="AT60">
        <v>255935</v>
      </c>
      <c r="AU60">
        <v>90784</v>
      </c>
      <c r="AV60">
        <v>224309</v>
      </c>
      <c r="AW60">
        <v>106209</v>
      </c>
      <c r="AX60">
        <v>183252</v>
      </c>
      <c r="AY60">
        <v>47259</v>
      </c>
      <c r="AZ60">
        <v>48500</v>
      </c>
      <c r="BA60">
        <v>105261</v>
      </c>
      <c r="BB60">
        <v>0</v>
      </c>
      <c r="BC60">
        <v>167385</v>
      </c>
      <c r="BD60">
        <v>56078</v>
      </c>
      <c r="BE60">
        <v>131485</v>
      </c>
      <c r="BF60">
        <v>35167</v>
      </c>
      <c r="BG60">
        <v>2042</v>
      </c>
      <c r="BH60">
        <v>18525</v>
      </c>
      <c r="BI60">
        <v>479435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P12"/>
  <sheetViews>
    <sheetView zoomScaleNormal="100" workbookViewId="0">
      <selection activeCell="N32" sqref="A1:XFD1048576"/>
    </sheetView>
  </sheetViews>
  <sheetFormatPr defaultColWidth="8.5703125" defaultRowHeight="15" x14ac:dyDescent="0.25"/>
  <sheetData>
    <row r="1" spans="1:94" ht="15" customHeight="1" x14ac:dyDescent="0.25">
      <c r="A1" s="4" t="s">
        <v>15</v>
      </c>
    </row>
    <row r="2" spans="1:94" x14ac:dyDescent="0.25">
      <c r="B2" t="s">
        <v>18</v>
      </c>
      <c r="C2" t="s">
        <v>18</v>
      </c>
      <c r="D2" t="s">
        <v>18</v>
      </c>
      <c r="E2" t="s">
        <v>18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  <c r="T2" t="s">
        <v>18</v>
      </c>
      <c r="U2" t="s">
        <v>18</v>
      </c>
      <c r="V2" t="s">
        <v>18</v>
      </c>
      <c r="W2" t="s">
        <v>18</v>
      </c>
      <c r="X2" t="s">
        <v>18</v>
      </c>
      <c r="Y2" t="s">
        <v>18</v>
      </c>
      <c r="Z2" t="s">
        <v>18</v>
      </c>
      <c r="AA2" t="s">
        <v>18</v>
      </c>
      <c r="AB2" t="s">
        <v>18</v>
      </c>
      <c r="AC2" t="s">
        <v>18</v>
      </c>
      <c r="AD2" t="s">
        <v>18</v>
      </c>
      <c r="AE2" t="s">
        <v>18</v>
      </c>
      <c r="AF2" t="s">
        <v>19</v>
      </c>
      <c r="AG2" t="s">
        <v>18</v>
      </c>
      <c r="AH2" t="s">
        <v>18</v>
      </c>
      <c r="AI2" t="s">
        <v>18</v>
      </c>
      <c r="AJ2" t="s">
        <v>18</v>
      </c>
      <c r="AK2" t="s">
        <v>18</v>
      </c>
      <c r="AL2" t="s">
        <v>18</v>
      </c>
      <c r="AM2" t="s">
        <v>18</v>
      </c>
      <c r="AN2" t="s">
        <v>18</v>
      </c>
      <c r="AO2" t="s">
        <v>18</v>
      </c>
      <c r="AP2" t="s">
        <v>18</v>
      </c>
      <c r="AQ2" t="s">
        <v>18</v>
      </c>
      <c r="AR2" t="s">
        <v>18</v>
      </c>
      <c r="AS2" t="s">
        <v>18</v>
      </c>
      <c r="AT2" t="s">
        <v>18</v>
      </c>
      <c r="AU2" t="s">
        <v>18</v>
      </c>
      <c r="AV2" t="s">
        <v>18</v>
      </c>
      <c r="AW2" t="s">
        <v>18</v>
      </c>
      <c r="AX2" t="s">
        <v>18</v>
      </c>
      <c r="AY2" t="s">
        <v>18</v>
      </c>
      <c r="AZ2" t="s">
        <v>18</v>
      </c>
      <c r="BA2" t="s">
        <v>18</v>
      </c>
      <c r="BB2" t="s">
        <v>18</v>
      </c>
      <c r="BC2" t="s">
        <v>18</v>
      </c>
      <c r="BD2" t="s">
        <v>18</v>
      </c>
      <c r="BE2" t="s">
        <v>18</v>
      </c>
      <c r="BF2" t="s">
        <v>18</v>
      </c>
      <c r="BG2" t="s">
        <v>18</v>
      </c>
      <c r="BH2" t="s">
        <v>18</v>
      </c>
      <c r="BI2" t="s">
        <v>18</v>
      </c>
      <c r="BJ2" t="s">
        <v>18</v>
      </c>
      <c r="BK2" t="s">
        <v>19</v>
      </c>
      <c r="BL2" t="s">
        <v>18</v>
      </c>
      <c r="BM2" t="s">
        <v>18</v>
      </c>
      <c r="BN2" t="s">
        <v>18</v>
      </c>
      <c r="BO2" t="s">
        <v>18</v>
      </c>
      <c r="BP2" t="s">
        <v>18</v>
      </c>
      <c r="BQ2" t="s">
        <v>18</v>
      </c>
      <c r="BR2" t="s">
        <v>18</v>
      </c>
      <c r="BS2" t="s">
        <v>18</v>
      </c>
      <c r="BT2" t="s">
        <v>18</v>
      </c>
      <c r="BU2" t="s">
        <v>18</v>
      </c>
      <c r="BV2" t="s">
        <v>18</v>
      </c>
      <c r="BW2" t="s">
        <v>18</v>
      </c>
      <c r="BX2" t="s">
        <v>18</v>
      </c>
      <c r="BY2" t="s">
        <v>18</v>
      </c>
      <c r="BZ2" t="s">
        <v>18</v>
      </c>
      <c r="CA2" t="s">
        <v>18</v>
      </c>
      <c r="CB2" t="s">
        <v>18</v>
      </c>
      <c r="CC2" t="s">
        <v>18</v>
      </c>
      <c r="CD2" t="s">
        <v>18</v>
      </c>
      <c r="CE2" t="s">
        <v>18</v>
      </c>
      <c r="CF2" t="s">
        <v>18</v>
      </c>
      <c r="CG2" t="s">
        <v>18</v>
      </c>
      <c r="CH2" t="s">
        <v>18</v>
      </c>
      <c r="CI2" t="s">
        <v>18</v>
      </c>
      <c r="CJ2" t="s">
        <v>18</v>
      </c>
      <c r="CK2" t="s">
        <v>18</v>
      </c>
      <c r="CL2" t="s">
        <v>18</v>
      </c>
      <c r="CM2" t="s">
        <v>18</v>
      </c>
      <c r="CN2" t="s">
        <v>18</v>
      </c>
      <c r="CO2" t="s">
        <v>18</v>
      </c>
      <c r="CP2" t="s">
        <v>19</v>
      </c>
    </row>
    <row r="3" spans="1:94" x14ac:dyDescent="0.25"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2</v>
      </c>
      <c r="AH3">
        <v>2</v>
      </c>
      <c r="AI3">
        <v>2</v>
      </c>
      <c r="AJ3">
        <v>2</v>
      </c>
      <c r="AK3">
        <v>2</v>
      </c>
      <c r="AL3">
        <v>2</v>
      </c>
      <c r="AM3">
        <v>2</v>
      </c>
      <c r="AN3">
        <v>2</v>
      </c>
      <c r="AO3">
        <v>2</v>
      </c>
      <c r="AP3">
        <v>2</v>
      </c>
      <c r="AQ3">
        <v>2</v>
      </c>
      <c r="AR3">
        <v>2</v>
      </c>
      <c r="AS3">
        <v>2</v>
      </c>
      <c r="AT3">
        <v>2</v>
      </c>
      <c r="AU3">
        <v>2</v>
      </c>
      <c r="AV3">
        <v>2</v>
      </c>
      <c r="AW3">
        <v>2</v>
      </c>
      <c r="AX3">
        <v>2</v>
      </c>
      <c r="AY3">
        <v>2</v>
      </c>
      <c r="AZ3">
        <v>2</v>
      </c>
      <c r="BA3">
        <v>2</v>
      </c>
      <c r="BB3">
        <v>2</v>
      </c>
      <c r="BC3">
        <v>2</v>
      </c>
      <c r="BD3">
        <v>2</v>
      </c>
      <c r="BE3">
        <v>2</v>
      </c>
      <c r="BF3">
        <v>2</v>
      </c>
      <c r="BG3">
        <v>2</v>
      </c>
      <c r="BH3">
        <v>2</v>
      </c>
      <c r="BI3">
        <v>2</v>
      </c>
      <c r="BJ3">
        <v>2</v>
      </c>
      <c r="BK3">
        <v>2</v>
      </c>
      <c r="BL3">
        <v>3</v>
      </c>
      <c r="BM3">
        <v>3</v>
      </c>
      <c r="BN3">
        <v>3</v>
      </c>
      <c r="BO3">
        <v>3</v>
      </c>
      <c r="BP3">
        <v>3</v>
      </c>
      <c r="BQ3">
        <v>3</v>
      </c>
      <c r="BR3">
        <v>3</v>
      </c>
      <c r="BS3">
        <v>3</v>
      </c>
      <c r="BT3">
        <v>3</v>
      </c>
      <c r="BU3">
        <v>3</v>
      </c>
      <c r="BV3">
        <v>3</v>
      </c>
      <c r="BW3">
        <v>3</v>
      </c>
      <c r="BX3">
        <v>3</v>
      </c>
      <c r="BY3">
        <v>3</v>
      </c>
      <c r="BZ3">
        <v>3</v>
      </c>
      <c r="CA3">
        <v>3</v>
      </c>
      <c r="CB3">
        <v>3</v>
      </c>
      <c r="CC3">
        <v>3</v>
      </c>
      <c r="CD3">
        <v>3</v>
      </c>
      <c r="CE3">
        <v>3</v>
      </c>
      <c r="CF3">
        <v>3</v>
      </c>
      <c r="CG3">
        <v>3</v>
      </c>
      <c r="CH3">
        <v>3</v>
      </c>
      <c r="CI3">
        <v>3</v>
      </c>
      <c r="CJ3">
        <v>3</v>
      </c>
      <c r="CK3">
        <v>3</v>
      </c>
      <c r="CL3">
        <v>3</v>
      </c>
      <c r="CM3">
        <v>3</v>
      </c>
      <c r="CN3">
        <v>3</v>
      </c>
      <c r="CO3">
        <v>3</v>
      </c>
      <c r="CP3">
        <v>3</v>
      </c>
    </row>
    <row r="4" spans="1:94" x14ac:dyDescent="0.25">
      <c r="A4" t="s">
        <v>16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R4">
        <v>17</v>
      </c>
      <c r="S4">
        <v>18</v>
      </c>
      <c r="T4">
        <v>19</v>
      </c>
      <c r="U4">
        <v>20</v>
      </c>
      <c r="V4">
        <v>21</v>
      </c>
      <c r="W4">
        <v>22</v>
      </c>
      <c r="X4">
        <v>23</v>
      </c>
      <c r="Y4">
        <v>24</v>
      </c>
      <c r="Z4">
        <v>25</v>
      </c>
      <c r="AA4">
        <v>26</v>
      </c>
      <c r="AB4">
        <v>27</v>
      </c>
      <c r="AC4">
        <v>28</v>
      </c>
      <c r="AD4">
        <v>29</v>
      </c>
      <c r="AE4">
        <v>30</v>
      </c>
      <c r="AF4">
        <v>31</v>
      </c>
      <c r="AG4">
        <v>1</v>
      </c>
      <c r="AH4">
        <v>2</v>
      </c>
      <c r="AI4">
        <v>3</v>
      </c>
      <c r="AJ4">
        <v>4</v>
      </c>
      <c r="AK4">
        <v>5</v>
      </c>
      <c r="AL4">
        <v>6</v>
      </c>
      <c r="AM4">
        <v>7</v>
      </c>
      <c r="AN4">
        <v>8</v>
      </c>
      <c r="AO4">
        <v>9</v>
      </c>
      <c r="AP4">
        <v>10</v>
      </c>
      <c r="AQ4">
        <v>11</v>
      </c>
      <c r="AR4">
        <v>12</v>
      </c>
      <c r="AS4">
        <v>13</v>
      </c>
      <c r="AT4">
        <v>14</v>
      </c>
      <c r="AU4">
        <v>15</v>
      </c>
      <c r="AV4">
        <v>16</v>
      </c>
      <c r="AW4">
        <v>17</v>
      </c>
      <c r="AX4">
        <v>18</v>
      </c>
      <c r="AY4">
        <v>19</v>
      </c>
      <c r="AZ4">
        <v>20</v>
      </c>
      <c r="BA4">
        <v>21</v>
      </c>
      <c r="BB4">
        <v>22</v>
      </c>
      <c r="BC4">
        <v>23</v>
      </c>
      <c r="BD4">
        <v>24</v>
      </c>
      <c r="BE4">
        <v>25</v>
      </c>
      <c r="BF4">
        <v>26</v>
      </c>
      <c r="BG4">
        <v>27</v>
      </c>
      <c r="BH4">
        <v>28</v>
      </c>
      <c r="BI4">
        <v>29</v>
      </c>
      <c r="BJ4">
        <v>30</v>
      </c>
      <c r="BK4">
        <v>31</v>
      </c>
      <c r="BL4">
        <v>1</v>
      </c>
      <c r="BM4">
        <v>2</v>
      </c>
      <c r="BN4">
        <v>3</v>
      </c>
      <c r="BO4">
        <v>4</v>
      </c>
      <c r="BP4">
        <v>5</v>
      </c>
      <c r="BQ4">
        <v>6</v>
      </c>
      <c r="BR4">
        <v>7</v>
      </c>
      <c r="BS4">
        <v>8</v>
      </c>
      <c r="BT4">
        <v>9</v>
      </c>
      <c r="BU4">
        <v>10</v>
      </c>
      <c r="BV4">
        <v>11</v>
      </c>
      <c r="BW4">
        <v>12</v>
      </c>
      <c r="BX4">
        <v>13</v>
      </c>
      <c r="BY4">
        <v>14</v>
      </c>
      <c r="BZ4">
        <v>15</v>
      </c>
      <c r="CA4">
        <v>16</v>
      </c>
      <c r="CB4">
        <v>17</v>
      </c>
      <c r="CC4">
        <v>18</v>
      </c>
      <c r="CD4">
        <v>19</v>
      </c>
      <c r="CE4">
        <v>20</v>
      </c>
      <c r="CF4">
        <v>21</v>
      </c>
      <c r="CG4">
        <v>22</v>
      </c>
      <c r="CH4">
        <v>23</v>
      </c>
      <c r="CI4">
        <v>24</v>
      </c>
      <c r="CJ4">
        <v>25</v>
      </c>
      <c r="CK4">
        <v>26</v>
      </c>
      <c r="CL4">
        <v>27</v>
      </c>
      <c r="CM4">
        <v>28</v>
      </c>
      <c r="CN4">
        <v>29</v>
      </c>
      <c r="CO4">
        <v>30</v>
      </c>
      <c r="CP4">
        <v>31</v>
      </c>
    </row>
    <row r="5" spans="1:94" x14ac:dyDescent="0.25">
      <c r="A5" t="s">
        <v>6</v>
      </c>
      <c r="B5">
        <v>7745.5483870967746</v>
      </c>
      <c r="C5">
        <v>5428.9677419354839</v>
      </c>
      <c r="D5">
        <v>3792.8709677419361</v>
      </c>
      <c r="E5">
        <v>5841.9032258064517</v>
      </c>
      <c r="F5">
        <v>6664.9677419354839</v>
      </c>
      <c r="G5">
        <v>8380.1935483870966</v>
      </c>
      <c r="H5">
        <v>7063.5161290322594</v>
      </c>
      <c r="I5">
        <v>4715.2903225806449</v>
      </c>
      <c r="J5">
        <v>6028.2903225806449</v>
      </c>
      <c r="K5">
        <v>5316.8709677419356</v>
      </c>
      <c r="L5">
        <v>7891.3870967741932</v>
      </c>
      <c r="M5">
        <v>6322.5483870967746</v>
      </c>
      <c r="N5">
        <v>7931.7096774193551</v>
      </c>
      <c r="O5">
        <v>5294.1290322580644</v>
      </c>
      <c r="P5">
        <v>5439.4838709677406</v>
      </c>
      <c r="Q5">
        <v>2559.6129032258059</v>
      </c>
      <c r="R5">
        <v>1943.2258064516129</v>
      </c>
      <c r="S5">
        <v>2017.741935483871</v>
      </c>
      <c r="T5">
        <v>1146.1290322580651</v>
      </c>
      <c r="U5">
        <v>1613.161290322581</v>
      </c>
      <c r="V5">
        <v>907.41935483870964</v>
      </c>
      <c r="W5">
        <v>1974.1935483870971</v>
      </c>
      <c r="X5">
        <v>4116.1290322580644</v>
      </c>
      <c r="Y5">
        <v>2000.6451612903229</v>
      </c>
      <c r="Z5">
        <v>1967.0967741935481</v>
      </c>
      <c r="AA5">
        <v>2047.0967741935481</v>
      </c>
      <c r="AB5">
        <v>2561.2258064516132</v>
      </c>
      <c r="AC5">
        <v>4235.8064516129034</v>
      </c>
      <c r="AD5">
        <v>2592.2580645161288</v>
      </c>
      <c r="AE5">
        <v>710.32258064516134</v>
      </c>
      <c r="AF5">
        <v>10837.967741935479</v>
      </c>
      <c r="AG5">
        <v>31721.38709677419</v>
      </c>
      <c r="AH5">
        <v>33330.870967741932</v>
      </c>
      <c r="AI5">
        <v>38646.354838709667</v>
      </c>
      <c r="AJ5">
        <v>39065.870967741932</v>
      </c>
      <c r="AK5">
        <v>34817.774193548386</v>
      </c>
      <c r="AL5">
        <v>28732</v>
      </c>
      <c r="AM5">
        <v>35269.903225806447</v>
      </c>
      <c r="AN5">
        <v>19650.38709677419</v>
      </c>
      <c r="AO5">
        <v>31449.483870967739</v>
      </c>
      <c r="AP5">
        <v>19752.83870967742</v>
      </c>
      <c r="AQ5">
        <v>39285.387096774197</v>
      </c>
      <c r="AR5">
        <v>26988.322580645159</v>
      </c>
      <c r="AS5">
        <v>32047.193548387098</v>
      </c>
      <c r="AT5">
        <v>33527.096774193553</v>
      </c>
      <c r="AU5">
        <v>36024.93548387097</v>
      </c>
      <c r="AV5">
        <v>68369.096774193546</v>
      </c>
      <c r="AW5">
        <v>34983.548387096773</v>
      </c>
      <c r="AX5">
        <v>50355.290322580637</v>
      </c>
      <c r="AY5">
        <v>33260.93548387097</v>
      </c>
      <c r="AZ5">
        <v>33752.161290322583</v>
      </c>
      <c r="BA5">
        <v>38584.806451612902</v>
      </c>
      <c r="BB5">
        <v>61600.258064516129</v>
      </c>
      <c r="BC5">
        <v>28070.258064516129</v>
      </c>
      <c r="BD5">
        <v>55589.677419354841</v>
      </c>
      <c r="BE5">
        <v>48351.354838709667</v>
      </c>
      <c r="BF5">
        <v>45854.129032258068</v>
      </c>
      <c r="BG5">
        <v>45607.612903225803</v>
      </c>
      <c r="BH5">
        <v>42166.741935483871</v>
      </c>
      <c r="BI5">
        <v>52261.838709677417</v>
      </c>
      <c r="BJ5">
        <v>60512.93548387097</v>
      </c>
      <c r="BK5">
        <v>49647.709677419363</v>
      </c>
      <c r="BL5">
        <v>41505.806451612902</v>
      </c>
      <c r="BM5">
        <v>39209.903225806447</v>
      </c>
      <c r="BN5">
        <v>56280.322580645159</v>
      </c>
      <c r="BO5">
        <v>34730.387096774197</v>
      </c>
      <c r="BP5">
        <v>62193.387096774197</v>
      </c>
      <c r="BQ5">
        <v>63534.580645161288</v>
      </c>
      <c r="BR5">
        <v>70149.838709677424</v>
      </c>
      <c r="BS5">
        <v>63630.838709677417</v>
      </c>
      <c r="BT5">
        <v>41336.225806451614</v>
      </c>
      <c r="BU5">
        <v>52312.06451612903</v>
      </c>
      <c r="BV5">
        <v>60312.129032258068</v>
      </c>
      <c r="BW5">
        <v>57284.709677419363</v>
      </c>
      <c r="BX5">
        <v>50903.806451612902</v>
      </c>
      <c r="BY5">
        <v>53371</v>
      </c>
      <c r="BZ5">
        <v>67556.387096774197</v>
      </c>
      <c r="CA5">
        <v>129075.4516129032</v>
      </c>
      <c r="CB5">
        <v>54580.612903225803</v>
      </c>
      <c r="CC5">
        <v>122792.16129032261</v>
      </c>
      <c r="CD5">
        <v>120613.5806451613</v>
      </c>
      <c r="CE5">
        <v>105162.4193548387</v>
      </c>
      <c r="CF5">
        <v>127970.3870967742</v>
      </c>
      <c r="CG5">
        <v>109810.6451612903</v>
      </c>
      <c r="CH5">
        <v>122068.3225806452</v>
      </c>
      <c r="CI5">
        <v>90172.290322580651</v>
      </c>
      <c r="CJ5">
        <v>159718.45161290321</v>
      </c>
      <c r="CK5">
        <v>94909.096774193546</v>
      </c>
      <c r="CL5">
        <v>113161.064516129</v>
      </c>
      <c r="CM5">
        <v>94159.06451612903</v>
      </c>
      <c r="CN5">
        <v>129354.80645161289</v>
      </c>
      <c r="CO5">
        <v>121621.935483871</v>
      </c>
      <c r="CP5">
        <v>123652.6129032258</v>
      </c>
    </row>
    <row r="6" spans="1:94" x14ac:dyDescent="0.25">
      <c r="A6" t="s">
        <v>7</v>
      </c>
      <c r="B6">
        <v>5114.2258064516127</v>
      </c>
      <c r="C6">
        <v>5895.8064516129034</v>
      </c>
      <c r="D6">
        <v>4773.3870967741932</v>
      </c>
      <c r="E6">
        <v>7296.0967741935483</v>
      </c>
      <c r="F6">
        <v>5942.2580645161288</v>
      </c>
      <c r="G6">
        <v>5008.4838709677406</v>
      </c>
      <c r="H6">
        <v>7105.9677419354839</v>
      </c>
      <c r="I6">
        <v>5625.8387096774204</v>
      </c>
      <c r="J6">
        <v>7575.5806451612907</v>
      </c>
      <c r="K6">
        <v>4070.1290322580639</v>
      </c>
      <c r="L6">
        <v>5762.6129032258068</v>
      </c>
      <c r="M6">
        <v>4999.1612903225796</v>
      </c>
      <c r="N6">
        <v>4600.4193548387093</v>
      </c>
      <c r="O6">
        <v>6039.2258064516127</v>
      </c>
      <c r="P6">
        <v>6869.322580645161</v>
      </c>
      <c r="Q6">
        <v>1534.838709677419</v>
      </c>
      <c r="R6">
        <v>2539.0322580645161</v>
      </c>
      <c r="S6">
        <v>3538.0645161290322</v>
      </c>
      <c r="T6">
        <v>657.41935483870964</v>
      </c>
      <c r="U6">
        <v>1830.322580645161</v>
      </c>
      <c r="V6">
        <v>870.64516129032256</v>
      </c>
      <c r="W6">
        <v>1381.6129032258059</v>
      </c>
      <c r="X6">
        <v>1938.064516129032</v>
      </c>
      <c r="Y6">
        <v>3365.483870967742</v>
      </c>
      <c r="Z6">
        <v>1695.161290322581</v>
      </c>
      <c r="AA6">
        <v>3319.677419354839</v>
      </c>
      <c r="AB6">
        <v>2548.0645161290322</v>
      </c>
      <c r="AC6">
        <v>869.0322580645161</v>
      </c>
      <c r="AD6">
        <v>2593.8709677419361</v>
      </c>
      <c r="AE6">
        <v>1891.935483870968</v>
      </c>
      <c r="AF6">
        <v>10294.61290322581</v>
      </c>
      <c r="AG6">
        <v>23817.38709677419</v>
      </c>
      <c r="AH6">
        <v>32288.741935483871</v>
      </c>
      <c r="AI6">
        <v>21641.354838709682</v>
      </c>
      <c r="AJ6">
        <v>31728.83870967742</v>
      </c>
      <c r="AK6">
        <v>27491.516129032261</v>
      </c>
      <c r="AL6">
        <v>22780.29032258064</v>
      </c>
      <c r="AM6">
        <v>27413.419354838708</v>
      </c>
      <c r="AN6">
        <v>18563.096774193549</v>
      </c>
      <c r="AO6">
        <v>21507.354838709682</v>
      </c>
      <c r="AP6">
        <v>30736.032258064519</v>
      </c>
      <c r="AQ6">
        <v>24950.806451612902</v>
      </c>
      <c r="AR6">
        <v>25243.22580645161</v>
      </c>
      <c r="AS6">
        <v>26877.677419354841</v>
      </c>
      <c r="AT6">
        <v>22735.419354838708</v>
      </c>
      <c r="AU6">
        <v>27717.61290322581</v>
      </c>
      <c r="AV6">
        <v>37078.709677419363</v>
      </c>
      <c r="AW6">
        <v>31853.870967741939</v>
      </c>
      <c r="AX6">
        <v>29310</v>
      </c>
      <c r="AY6">
        <v>26307.419354838708</v>
      </c>
      <c r="AZ6">
        <v>25968.38709677419</v>
      </c>
      <c r="BA6">
        <v>31903.870967741939</v>
      </c>
      <c r="BB6">
        <v>35883.870967741932</v>
      </c>
      <c r="BC6">
        <v>26067.419354838708</v>
      </c>
      <c r="BD6">
        <v>33927.741935483871</v>
      </c>
      <c r="BE6">
        <v>31480.645161290318</v>
      </c>
      <c r="BF6">
        <v>23690.645161290318</v>
      </c>
      <c r="BG6">
        <v>27164.83870967742</v>
      </c>
      <c r="BH6">
        <v>34812.258064516129</v>
      </c>
      <c r="BI6">
        <v>30912.903225806451</v>
      </c>
      <c r="BJ6">
        <v>37703.548387096773</v>
      </c>
      <c r="BK6">
        <v>47445.354838709667</v>
      </c>
      <c r="BL6">
        <v>51317.677419354841</v>
      </c>
      <c r="BM6">
        <v>42681.580645161288</v>
      </c>
      <c r="BN6">
        <v>43642.548387096773</v>
      </c>
      <c r="BO6">
        <v>42970.838709677417</v>
      </c>
      <c r="BP6">
        <v>42519.451612903227</v>
      </c>
      <c r="BQ6">
        <v>51426.483870967742</v>
      </c>
      <c r="BR6">
        <v>43723.354838709667</v>
      </c>
      <c r="BS6">
        <v>46280.741935483871</v>
      </c>
      <c r="BT6">
        <v>39546.193548387098</v>
      </c>
      <c r="BU6">
        <v>28417.354838709682</v>
      </c>
      <c r="BV6">
        <v>30186.096774193549</v>
      </c>
      <c r="BW6">
        <v>56047.096774193553</v>
      </c>
      <c r="BX6">
        <v>29583.93548387097</v>
      </c>
      <c r="BY6">
        <v>38533.677419354841</v>
      </c>
      <c r="BZ6">
        <v>37828.516129032258</v>
      </c>
      <c r="CA6">
        <v>90460.645161290318</v>
      </c>
      <c r="CB6">
        <v>99091.290322580651</v>
      </c>
      <c r="CC6">
        <v>132551.935483871</v>
      </c>
      <c r="CD6">
        <v>59309.032258064522</v>
      </c>
      <c r="CE6">
        <v>74219.677419354834</v>
      </c>
      <c r="CF6">
        <v>67900</v>
      </c>
      <c r="CG6">
        <v>69127.741935483864</v>
      </c>
      <c r="CH6">
        <v>87716.774193548394</v>
      </c>
      <c r="CI6">
        <v>82344.193548387091</v>
      </c>
      <c r="CJ6">
        <v>60396.129032258068</v>
      </c>
      <c r="CK6">
        <v>95757.419354838712</v>
      </c>
      <c r="CL6">
        <v>67651.612903225803</v>
      </c>
      <c r="CM6">
        <v>51748.709677419363</v>
      </c>
      <c r="CN6">
        <v>87063.225806451606</v>
      </c>
      <c r="CO6">
        <v>92638.387096774197</v>
      </c>
      <c r="CP6">
        <v>89221.516129032258</v>
      </c>
    </row>
    <row r="7" spans="1:94" x14ac:dyDescent="0.25">
      <c r="A7" t="s">
        <v>8</v>
      </c>
      <c r="B7">
        <v>7435.4838709677406</v>
      </c>
      <c r="C7">
        <v>7409.0322580645161</v>
      </c>
      <c r="D7">
        <v>7312.2580645161288</v>
      </c>
      <c r="E7">
        <v>7199.3548387096771</v>
      </c>
      <c r="F7">
        <v>7183.2258064516127</v>
      </c>
      <c r="G7">
        <v>5876.7741935483873</v>
      </c>
      <c r="H7">
        <v>5849.677419354839</v>
      </c>
      <c r="I7">
        <v>5822.5806451612907</v>
      </c>
      <c r="J7">
        <v>5812.2580645161288</v>
      </c>
      <c r="K7">
        <v>5785.1612903225796</v>
      </c>
      <c r="L7">
        <v>5720.6451612903229</v>
      </c>
      <c r="M7">
        <v>5709.677419354839</v>
      </c>
      <c r="N7">
        <v>5693.5483870967746</v>
      </c>
      <c r="O7">
        <v>5693.5483870967746</v>
      </c>
      <c r="P7">
        <v>5650.9677419354839</v>
      </c>
      <c r="Q7">
        <v>6780.6451612903229</v>
      </c>
      <c r="R7">
        <v>6767.7419354838712</v>
      </c>
      <c r="S7">
        <v>6703.2258064516127</v>
      </c>
      <c r="T7">
        <v>6690.322580645161</v>
      </c>
      <c r="U7">
        <v>2490.322580645161</v>
      </c>
      <c r="V7">
        <v>1954.838709677419</v>
      </c>
      <c r="W7">
        <v>916.12903225806451</v>
      </c>
      <c r="X7">
        <v>896.77419354838707</v>
      </c>
      <c r="Y7">
        <v>464.51612903225799</v>
      </c>
      <c r="Z7">
        <v>290.32258064516128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100731.6129032258</v>
      </c>
      <c r="AH7">
        <v>67769.032258064515</v>
      </c>
      <c r="AI7">
        <v>49420</v>
      </c>
      <c r="AJ7">
        <v>40032.258064516129</v>
      </c>
      <c r="AK7">
        <v>35225.806451612902</v>
      </c>
      <c r="AL7">
        <v>35140.645161290333</v>
      </c>
      <c r="AM7">
        <v>33602.580645161288</v>
      </c>
      <c r="AN7">
        <v>32715.483870967739</v>
      </c>
      <c r="AO7">
        <v>31839.354838709682</v>
      </c>
      <c r="AP7">
        <v>30280</v>
      </c>
      <c r="AQ7">
        <v>29715.483870967739</v>
      </c>
      <c r="AR7">
        <v>27941.29032258064</v>
      </c>
      <c r="AS7">
        <v>27075.483870967739</v>
      </c>
      <c r="AT7">
        <v>25323.22580645161</v>
      </c>
      <c r="AU7">
        <v>24285.16129032258</v>
      </c>
      <c r="AV7">
        <v>28709.677419354841</v>
      </c>
      <c r="AW7">
        <v>28025.806451612902</v>
      </c>
      <c r="AX7">
        <v>27070.967741935481</v>
      </c>
      <c r="AY7">
        <v>26819.354838709682</v>
      </c>
      <c r="AZ7">
        <v>25741.93548387097</v>
      </c>
      <c r="BA7">
        <v>25612.903225806451</v>
      </c>
      <c r="BB7">
        <v>25354.83870967742</v>
      </c>
      <c r="BC7">
        <v>24406.451612903231</v>
      </c>
      <c r="BD7">
        <v>23645.16129032258</v>
      </c>
      <c r="BE7">
        <v>19122.580645161292</v>
      </c>
      <c r="BF7">
        <v>14922.58064516129</v>
      </c>
      <c r="BG7">
        <v>1012.903225806452</v>
      </c>
      <c r="BH7">
        <v>1006.451612903226</v>
      </c>
      <c r="BI7">
        <v>993.54838709677415</v>
      </c>
      <c r="BJ7">
        <v>929.0322580645161</v>
      </c>
      <c r="BK7">
        <v>752.90322580645159</v>
      </c>
      <c r="BL7">
        <v>133345.16129032261</v>
      </c>
      <c r="BM7">
        <v>129989.6774193548</v>
      </c>
      <c r="BN7">
        <v>115172.9032258065</v>
      </c>
      <c r="BO7">
        <v>114790.9677419355</v>
      </c>
      <c r="BP7">
        <v>105372.25806451611</v>
      </c>
      <c r="BQ7">
        <v>88275.483870967742</v>
      </c>
      <c r="BR7">
        <v>80936.774193548394</v>
      </c>
      <c r="BS7">
        <v>66280.645161290318</v>
      </c>
      <c r="BT7">
        <v>55005.806451612902</v>
      </c>
      <c r="BU7">
        <v>53683.225806451614</v>
      </c>
      <c r="BV7">
        <v>51871.612903225803</v>
      </c>
      <c r="BW7">
        <v>50909.677419354841</v>
      </c>
      <c r="BX7">
        <v>50183.225806451614</v>
      </c>
      <c r="BY7">
        <v>47715.483870967742</v>
      </c>
      <c r="BZ7">
        <v>46661.93548387097</v>
      </c>
      <c r="CA7">
        <v>53864.516129032258</v>
      </c>
      <c r="CB7">
        <v>52883.870967741932</v>
      </c>
      <c r="CC7">
        <v>52645.161290322583</v>
      </c>
      <c r="CD7">
        <v>52354.838709677417</v>
      </c>
      <c r="CE7">
        <v>50670.967741935478</v>
      </c>
      <c r="CF7">
        <v>48767.741935483871</v>
      </c>
      <c r="CG7">
        <v>48464.516129032258</v>
      </c>
      <c r="CH7">
        <v>35045.161290322583</v>
      </c>
      <c r="CI7">
        <v>33845.161290322583</v>
      </c>
      <c r="CJ7">
        <v>33619.354838709667</v>
      </c>
      <c r="CK7">
        <v>33070.967741935478</v>
      </c>
      <c r="CL7">
        <v>32716.129032258061</v>
      </c>
      <c r="CM7">
        <v>31096.77419354839</v>
      </c>
      <c r="CN7">
        <v>30006.451612903231</v>
      </c>
      <c r="CO7">
        <v>28800</v>
      </c>
      <c r="CP7">
        <v>23839.354838709682</v>
      </c>
    </row>
    <row r="8" spans="1:94" x14ac:dyDescent="0.25">
      <c r="A8" t="s">
        <v>9</v>
      </c>
      <c r="B8">
        <v>5733.8709677419356</v>
      </c>
      <c r="C8">
        <v>4139.2580645161288</v>
      </c>
      <c r="D8">
        <v>4778.7096774193551</v>
      </c>
      <c r="E8">
        <v>2888.8709677419361</v>
      </c>
      <c r="F8">
        <v>4845.1612903225796</v>
      </c>
      <c r="G8">
        <v>2418.677419354839</v>
      </c>
      <c r="H8">
        <v>2804.4516129032259</v>
      </c>
      <c r="I8">
        <v>3446.9354838709678</v>
      </c>
      <c r="J8">
        <v>5716.677419354839</v>
      </c>
      <c r="K8">
        <v>4047.7741935483868</v>
      </c>
      <c r="L8">
        <v>3099.6129032258059</v>
      </c>
      <c r="M8">
        <v>5499.1612903225796</v>
      </c>
      <c r="N8">
        <v>2772.483870967742</v>
      </c>
      <c r="O8">
        <v>3184.322580645161</v>
      </c>
      <c r="P8">
        <v>4204</v>
      </c>
      <c r="Q8">
        <v>3698.0645161290322</v>
      </c>
      <c r="R8">
        <v>3521.9354838709678</v>
      </c>
      <c r="S8">
        <v>6367.4193548387093</v>
      </c>
      <c r="T8">
        <v>3915.483870967742</v>
      </c>
      <c r="U8">
        <v>5197.0967741935483</v>
      </c>
      <c r="V8">
        <v>2888.7096774193551</v>
      </c>
      <c r="W8">
        <v>7315.4838709677406</v>
      </c>
      <c r="X8">
        <v>5987.0967741935483</v>
      </c>
      <c r="Y8">
        <v>3469.677419354839</v>
      </c>
      <c r="Z8">
        <v>4329.3548387096771</v>
      </c>
      <c r="AA8">
        <v>4860.322580645161</v>
      </c>
      <c r="AB8">
        <v>4318.3870967741932</v>
      </c>
      <c r="AC8">
        <v>5956.7741935483873</v>
      </c>
      <c r="AD8">
        <v>5033.8709677419356</v>
      </c>
      <c r="AE8">
        <v>3591.9354838709678</v>
      </c>
      <c r="AF8">
        <v>4159.7741935483873</v>
      </c>
      <c r="AG8">
        <v>17764.516129032261</v>
      </c>
      <c r="AH8">
        <v>23421.580645161292</v>
      </c>
      <c r="AI8">
        <v>28405.451612903231</v>
      </c>
      <c r="AJ8">
        <v>29388.83870967742</v>
      </c>
      <c r="AK8">
        <v>21700.193548387098</v>
      </c>
      <c r="AL8">
        <v>20471.29032258064</v>
      </c>
      <c r="AM8">
        <v>32017.22580645161</v>
      </c>
      <c r="AN8">
        <v>26414.580645161292</v>
      </c>
      <c r="AO8">
        <v>26362.741935483871</v>
      </c>
      <c r="AP8">
        <v>22440.354838709682</v>
      </c>
      <c r="AQ8">
        <v>27933.06451612903</v>
      </c>
      <c r="AR8">
        <v>9070.322580645161</v>
      </c>
      <c r="AS8">
        <v>19450.70967741936</v>
      </c>
      <c r="AT8">
        <v>30624.516129032261</v>
      </c>
      <c r="AU8">
        <v>26405.096774193549</v>
      </c>
      <c r="AV8">
        <v>32085.806451612902</v>
      </c>
      <c r="AW8">
        <v>32317.419354838708</v>
      </c>
      <c r="AX8">
        <v>31580.645161290318</v>
      </c>
      <c r="AY8">
        <v>36270.967741935478</v>
      </c>
      <c r="AZ8">
        <v>41836.451612903227</v>
      </c>
      <c r="BA8">
        <v>17644.83870967742</v>
      </c>
      <c r="BB8">
        <v>41472.903225806447</v>
      </c>
      <c r="BC8">
        <v>33674.193548387098</v>
      </c>
      <c r="BD8">
        <v>38996.774193548386</v>
      </c>
      <c r="BE8">
        <v>33907.096774193553</v>
      </c>
      <c r="BF8">
        <v>26120.322580645159</v>
      </c>
      <c r="BG8">
        <v>39530</v>
      </c>
      <c r="BH8">
        <v>40729.032258064522</v>
      </c>
      <c r="BI8">
        <v>38136.129032258068</v>
      </c>
      <c r="BJ8">
        <v>33765.161290322583</v>
      </c>
      <c r="BK8">
        <v>26067.096774193549</v>
      </c>
      <c r="BL8">
        <v>45114.129032258068</v>
      </c>
      <c r="BM8">
        <v>63785.129032258068</v>
      </c>
      <c r="BN8">
        <v>46897.806451612902</v>
      </c>
      <c r="BO8">
        <v>54945.612903225803</v>
      </c>
      <c r="BP8">
        <v>56769.838709677417</v>
      </c>
      <c r="BQ8">
        <v>66644.806451612909</v>
      </c>
      <c r="BR8">
        <v>54644.258064516129</v>
      </c>
      <c r="BS8">
        <v>25449</v>
      </c>
      <c r="BT8">
        <v>49670.483870967742</v>
      </c>
      <c r="BU8">
        <v>48346.032258064522</v>
      </c>
      <c r="BV8">
        <v>82734.258064516136</v>
      </c>
      <c r="BW8">
        <v>67281.612903225803</v>
      </c>
      <c r="BX8">
        <v>49728.096774193553</v>
      </c>
      <c r="BY8">
        <v>74303.193548387091</v>
      </c>
      <c r="BZ8">
        <v>63111.387096774197</v>
      </c>
      <c r="CA8">
        <v>71866.774193548394</v>
      </c>
      <c r="CB8">
        <v>50347.096774193553</v>
      </c>
      <c r="CC8">
        <v>44846.129032258068</v>
      </c>
      <c r="CD8">
        <v>91251.93548387097</v>
      </c>
      <c r="CE8">
        <v>77079.677419354834</v>
      </c>
      <c r="CF8">
        <v>50133.225806451614</v>
      </c>
      <c r="CG8">
        <v>66212.258064516136</v>
      </c>
      <c r="CH8">
        <v>51674.838709677417</v>
      </c>
      <c r="CI8">
        <v>70968.709677419349</v>
      </c>
      <c r="CJ8">
        <v>91636.451612903227</v>
      </c>
      <c r="CK8">
        <v>56662.580645161288</v>
      </c>
      <c r="CL8">
        <v>50768.06451612903</v>
      </c>
      <c r="CM8">
        <v>75782.580645161288</v>
      </c>
      <c r="CN8">
        <v>68827.096774193546</v>
      </c>
      <c r="CO8">
        <v>61341.290322580637</v>
      </c>
      <c r="CP8">
        <v>63317.806451612902</v>
      </c>
    </row>
    <row r="9" spans="1:94" x14ac:dyDescent="0.25">
      <c r="A9" t="s">
        <v>10</v>
      </c>
      <c r="B9">
        <v>5726.2903225806449</v>
      </c>
      <c r="C9">
        <v>7006.2258064516127</v>
      </c>
      <c r="D9">
        <v>6028.8709677419356</v>
      </c>
      <c r="E9">
        <v>6575</v>
      </c>
      <c r="F9">
        <v>4345.3548387096771</v>
      </c>
      <c r="G9">
        <v>3295.8709677419361</v>
      </c>
      <c r="H9">
        <v>6417.4516129032254</v>
      </c>
      <c r="I9">
        <v>5911.5806451612907</v>
      </c>
      <c r="J9">
        <v>3006.354838709678</v>
      </c>
      <c r="K9">
        <v>6407.2903225806449</v>
      </c>
      <c r="L9">
        <v>3376.2903225806449</v>
      </c>
      <c r="M9">
        <v>7295.2903225806449</v>
      </c>
      <c r="N9">
        <v>5379.2903225806449</v>
      </c>
      <c r="O9">
        <v>4058.7419354838712</v>
      </c>
      <c r="P9">
        <v>6341.7096774193551</v>
      </c>
      <c r="Q9">
        <v>4910.322580645161</v>
      </c>
      <c r="R9">
        <v>3614.516129032258</v>
      </c>
      <c r="S9">
        <v>3221.6129032258059</v>
      </c>
      <c r="T9">
        <v>2524.516129032258</v>
      </c>
      <c r="U9">
        <v>3035.8064516129029</v>
      </c>
      <c r="V9">
        <v>2841.2903225806449</v>
      </c>
      <c r="W9">
        <v>792.90322580645159</v>
      </c>
      <c r="X9">
        <v>3719.354838709678</v>
      </c>
      <c r="Y9">
        <v>3343.5483870967741</v>
      </c>
      <c r="Z9">
        <v>4399.0322580645161</v>
      </c>
      <c r="AA9">
        <v>3577.4193548387102</v>
      </c>
      <c r="AB9">
        <v>2677.4193548387102</v>
      </c>
      <c r="AC9">
        <v>1899.677419354839</v>
      </c>
      <c r="AD9">
        <v>3361.9354838709678</v>
      </c>
      <c r="AE9">
        <v>3329.0322580645161</v>
      </c>
      <c r="AF9">
        <v>1904.9677419354839</v>
      </c>
      <c r="AG9">
        <v>19053.354838709682</v>
      </c>
      <c r="AH9">
        <v>11887.709677419351</v>
      </c>
      <c r="AI9">
        <v>19519.83870967742</v>
      </c>
      <c r="AJ9">
        <v>25041.38709677419</v>
      </c>
      <c r="AK9">
        <v>31727.77419354839</v>
      </c>
      <c r="AL9">
        <v>30345.70967741936</v>
      </c>
      <c r="AM9">
        <v>23016.29032258064</v>
      </c>
      <c r="AN9">
        <v>33680.290322580637</v>
      </c>
      <c r="AO9">
        <v>15586.548387096769</v>
      </c>
      <c r="AP9">
        <v>22310.193548387098</v>
      </c>
      <c r="AQ9">
        <v>43763.419354838712</v>
      </c>
      <c r="AR9">
        <v>22080.451612903231</v>
      </c>
      <c r="AS9">
        <v>26930.645161290318</v>
      </c>
      <c r="AT9">
        <v>32265.870967741939</v>
      </c>
      <c r="AU9">
        <v>25655.06451612903</v>
      </c>
      <c r="AV9">
        <v>25449.032258064519</v>
      </c>
      <c r="AW9">
        <v>49276.451612903227</v>
      </c>
      <c r="AX9">
        <v>52024.516129032258</v>
      </c>
      <c r="AY9">
        <v>32284.516129032261</v>
      </c>
      <c r="AZ9">
        <v>28253.548387096769</v>
      </c>
      <c r="BA9">
        <v>26489.677419354841</v>
      </c>
      <c r="BB9">
        <v>31766.451612903231</v>
      </c>
      <c r="BC9">
        <v>38049.032258064522</v>
      </c>
      <c r="BD9">
        <v>31810.967741935481</v>
      </c>
      <c r="BE9">
        <v>32207.741935483871</v>
      </c>
      <c r="BF9">
        <v>43158.387096774197</v>
      </c>
      <c r="BG9">
        <v>23497.741935483871</v>
      </c>
      <c r="BH9">
        <v>26426.451612903231</v>
      </c>
      <c r="BI9">
        <v>25029.354838709682</v>
      </c>
      <c r="BJ9">
        <v>26427.741935483871</v>
      </c>
      <c r="BK9">
        <v>26669.677419354841</v>
      </c>
      <c r="BL9">
        <v>67429.06451612903</v>
      </c>
      <c r="BM9">
        <v>56991.741935483871</v>
      </c>
      <c r="BN9">
        <v>37748.870967741932</v>
      </c>
      <c r="BO9">
        <v>39953.774193548386</v>
      </c>
      <c r="BP9">
        <v>55199.93548387097</v>
      </c>
      <c r="BQ9">
        <v>51362.806451612902</v>
      </c>
      <c r="BR9">
        <v>52117.93548387097</v>
      </c>
      <c r="BS9">
        <v>40990.677419354841</v>
      </c>
      <c r="BT9">
        <v>50818.677419354841</v>
      </c>
      <c r="BU9">
        <v>56653.838709677417</v>
      </c>
      <c r="BV9">
        <v>61865.129032258068</v>
      </c>
      <c r="BW9">
        <v>47680.290322580637</v>
      </c>
      <c r="BX9">
        <v>51241.903225806447</v>
      </c>
      <c r="BY9">
        <v>48192.290322580637</v>
      </c>
      <c r="BZ9">
        <v>53403.903225806447</v>
      </c>
      <c r="CA9">
        <v>72804.193548387091</v>
      </c>
      <c r="CB9">
        <v>82958.709677419349</v>
      </c>
      <c r="CC9">
        <v>63172.258064516129</v>
      </c>
      <c r="CD9">
        <v>55323.548387096773</v>
      </c>
      <c r="CE9">
        <v>59382.903225806447</v>
      </c>
      <c r="CF9">
        <v>64930.645161290333</v>
      </c>
      <c r="CG9">
        <v>59932.258064516129</v>
      </c>
      <c r="CH9">
        <v>95077.419354838712</v>
      </c>
      <c r="CI9">
        <v>79947.096774193546</v>
      </c>
      <c r="CJ9">
        <v>82240.322580645166</v>
      </c>
      <c r="CK9">
        <v>64306.774193548386</v>
      </c>
      <c r="CL9">
        <v>63217.096774193553</v>
      </c>
      <c r="CM9">
        <v>81715.161290322576</v>
      </c>
      <c r="CN9">
        <v>83977.419354838712</v>
      </c>
      <c r="CO9">
        <v>72429.354838709682</v>
      </c>
      <c r="CP9">
        <v>56078.580645161288</v>
      </c>
    </row>
    <row r="10" spans="1:94" x14ac:dyDescent="0.25">
      <c r="A10" t="s">
        <v>11</v>
      </c>
      <c r="B10">
        <v>3421.7096774193551</v>
      </c>
      <c r="C10">
        <v>3182.9354838709678</v>
      </c>
      <c r="D10">
        <v>4100.5806451612907</v>
      </c>
      <c r="E10">
        <v>3396.9677419354839</v>
      </c>
      <c r="F10">
        <v>3290.8064516129029</v>
      </c>
      <c r="G10">
        <v>4902.7096774193551</v>
      </c>
      <c r="H10">
        <v>3331.5806451612898</v>
      </c>
      <c r="I10">
        <v>5482</v>
      </c>
      <c r="J10">
        <v>3548.0645161290322</v>
      </c>
      <c r="K10">
        <v>3207.1290322580639</v>
      </c>
      <c r="L10">
        <v>4659.322580645161</v>
      </c>
      <c r="M10">
        <v>3452.645161290322</v>
      </c>
      <c r="N10">
        <v>5828.5161290322594</v>
      </c>
      <c r="O10">
        <v>4312.8387096774204</v>
      </c>
      <c r="P10">
        <v>2867.6129032258059</v>
      </c>
      <c r="Q10">
        <v>5254.5161290322594</v>
      </c>
      <c r="R10">
        <v>7562.2580645161288</v>
      </c>
      <c r="S10">
        <v>5336.4516129032254</v>
      </c>
      <c r="T10">
        <v>4637.7419354838712</v>
      </c>
      <c r="U10">
        <v>6678.7096774193551</v>
      </c>
      <c r="V10">
        <v>3246.4516129032259</v>
      </c>
      <c r="W10">
        <v>3383.5483870967741</v>
      </c>
      <c r="X10">
        <v>4347.0967741935483</v>
      </c>
      <c r="Y10">
        <v>4884.5161290322594</v>
      </c>
      <c r="Z10">
        <v>2954.516129032258</v>
      </c>
      <c r="AA10">
        <v>6140.9677419354839</v>
      </c>
      <c r="AB10">
        <v>4012.2580645161288</v>
      </c>
      <c r="AC10">
        <v>5247.7419354838712</v>
      </c>
      <c r="AD10">
        <v>3570.322580645161</v>
      </c>
      <c r="AE10">
        <v>4943.8709677419356</v>
      </c>
      <c r="AF10">
        <v>3296.677419354839</v>
      </c>
      <c r="AG10">
        <v>18492.580645161292</v>
      </c>
      <c r="AH10">
        <v>24820.93548387097</v>
      </c>
      <c r="AI10">
        <v>16328.677419354841</v>
      </c>
      <c r="AJ10">
        <v>29591.354838709682</v>
      </c>
      <c r="AK10">
        <v>27266.61290322581</v>
      </c>
      <c r="AL10">
        <v>28133.903225806451</v>
      </c>
      <c r="AM10">
        <v>26221.677419354841</v>
      </c>
      <c r="AN10">
        <v>19314.967741935481</v>
      </c>
      <c r="AO10">
        <v>36806.903225806447</v>
      </c>
      <c r="AP10">
        <v>23486.354838709682</v>
      </c>
      <c r="AQ10">
        <v>16029.1935483871</v>
      </c>
      <c r="AR10">
        <v>26713.516129032261</v>
      </c>
      <c r="AS10">
        <v>25034.06451612903</v>
      </c>
      <c r="AT10">
        <v>19005.38709677419</v>
      </c>
      <c r="AU10">
        <v>25628.806451612902</v>
      </c>
      <c r="AV10">
        <v>28882.903225806451</v>
      </c>
      <c r="AW10">
        <v>24334.193548387098</v>
      </c>
      <c r="AX10">
        <v>31164.516129032261</v>
      </c>
      <c r="AY10">
        <v>39940.645161290333</v>
      </c>
      <c r="AZ10">
        <v>30607.096774193549</v>
      </c>
      <c r="BA10">
        <v>36164.193548387098</v>
      </c>
      <c r="BB10">
        <v>40470.645161290333</v>
      </c>
      <c r="BC10">
        <v>34881.93548387097</v>
      </c>
      <c r="BD10">
        <v>41806.129032258068</v>
      </c>
      <c r="BE10">
        <v>34019.032258064522</v>
      </c>
      <c r="BF10">
        <v>43796.774193548386</v>
      </c>
      <c r="BG10">
        <v>45406.451612903227</v>
      </c>
      <c r="BH10">
        <v>29876.451612903231</v>
      </c>
      <c r="BI10">
        <v>28401.29032258064</v>
      </c>
      <c r="BJ10">
        <v>29925.16129032258</v>
      </c>
      <c r="BK10">
        <v>23721.06451612903</v>
      </c>
      <c r="BL10">
        <v>74126.387096774197</v>
      </c>
      <c r="BM10">
        <v>59847.290322580637</v>
      </c>
      <c r="BN10">
        <v>62112.93548387097</v>
      </c>
      <c r="BO10">
        <v>43515.419354838712</v>
      </c>
      <c r="BP10">
        <v>49780.161290322583</v>
      </c>
      <c r="BQ10">
        <v>58515.451612903227</v>
      </c>
      <c r="BR10">
        <v>62548.096774193553</v>
      </c>
      <c r="BS10">
        <v>46155.903225806447</v>
      </c>
      <c r="BT10">
        <v>65429.774193548386</v>
      </c>
      <c r="BU10">
        <v>55139.258064516129</v>
      </c>
      <c r="BV10">
        <v>48772.451612903227</v>
      </c>
      <c r="BW10">
        <v>45428.032258064522</v>
      </c>
      <c r="BX10">
        <v>56868.032258064522</v>
      </c>
      <c r="BY10">
        <v>64344.451612903227</v>
      </c>
      <c r="BZ10">
        <v>49740.354838709667</v>
      </c>
      <c r="CA10">
        <v>66347.419354838712</v>
      </c>
      <c r="CB10">
        <v>77119.677419354834</v>
      </c>
      <c r="CC10">
        <v>95741.612903225803</v>
      </c>
      <c r="CD10">
        <v>41152.258064516129</v>
      </c>
      <c r="CE10">
        <v>78701.93548387097</v>
      </c>
      <c r="CF10">
        <v>61806.451612903227</v>
      </c>
      <c r="CG10">
        <v>61813.225806451614</v>
      </c>
      <c r="CH10">
        <v>53513.548387096773</v>
      </c>
      <c r="CI10">
        <v>77343.548387096773</v>
      </c>
      <c r="CJ10">
        <v>42579.032258064522</v>
      </c>
      <c r="CK10">
        <v>41673.870967741932</v>
      </c>
      <c r="CL10">
        <v>70804.516129032258</v>
      </c>
      <c r="CM10">
        <v>56276.129032258068</v>
      </c>
      <c r="CN10">
        <v>74036.774193548394</v>
      </c>
      <c r="CO10">
        <v>77539.677419354834</v>
      </c>
      <c r="CP10">
        <v>72877.193548387091</v>
      </c>
    </row>
    <row r="11" spans="1:94" x14ac:dyDescent="0.25">
      <c r="A11" t="s">
        <v>12</v>
      </c>
      <c r="B11">
        <v>5317.677419354839</v>
      </c>
      <c r="C11">
        <v>4654.7741935483873</v>
      </c>
      <c r="D11">
        <v>3017.322580645161</v>
      </c>
      <c r="E11">
        <v>6942.7741935483873</v>
      </c>
      <c r="F11">
        <v>4245.6129032258068</v>
      </c>
      <c r="G11">
        <v>3691.677419354839</v>
      </c>
      <c r="H11">
        <v>4070.354838709678</v>
      </c>
      <c r="I11">
        <v>5336.6129032258068</v>
      </c>
      <c r="J11">
        <v>3420.0645161290322</v>
      </c>
      <c r="K11">
        <v>1816.2258064516129</v>
      </c>
      <c r="L11">
        <v>6055.4193548387093</v>
      </c>
      <c r="M11">
        <v>5460.2258064516127</v>
      </c>
      <c r="N11">
        <v>5161.8064516129034</v>
      </c>
      <c r="O11">
        <v>5419</v>
      </c>
      <c r="P11">
        <v>5110.9677419354839</v>
      </c>
      <c r="Q11">
        <v>4273.2258064516127</v>
      </c>
      <c r="R11">
        <v>5800.6451612903229</v>
      </c>
      <c r="S11">
        <v>4777.7419354838712</v>
      </c>
      <c r="T11">
        <v>5055.8064516129034</v>
      </c>
      <c r="U11">
        <v>2493.5483870967741</v>
      </c>
      <c r="V11">
        <v>5526.1290322580644</v>
      </c>
      <c r="W11">
        <v>2745.8064516129029</v>
      </c>
      <c r="X11">
        <v>3293.5483870967741</v>
      </c>
      <c r="Y11">
        <v>4916.7741935483873</v>
      </c>
      <c r="Z11">
        <v>3025.483870967742</v>
      </c>
      <c r="AA11">
        <v>2133.8709677419361</v>
      </c>
      <c r="AB11">
        <v>4572.2580645161288</v>
      </c>
      <c r="AC11">
        <v>5633.5483870967746</v>
      </c>
      <c r="AD11">
        <v>1987.0967741935481</v>
      </c>
      <c r="AE11">
        <v>3800.9677419354839</v>
      </c>
      <c r="AF11">
        <v>2698.8064516129029</v>
      </c>
      <c r="AG11">
        <v>26118.29032258064</v>
      </c>
      <c r="AH11">
        <v>17197.77419354839</v>
      </c>
      <c r="AI11">
        <v>21017.516129032261</v>
      </c>
      <c r="AJ11">
        <v>35515.322580645159</v>
      </c>
      <c r="AK11">
        <v>17326.645161290318</v>
      </c>
      <c r="AL11">
        <v>36965.967741935478</v>
      </c>
      <c r="AM11">
        <v>25159.967741935481</v>
      </c>
      <c r="AN11">
        <v>22681.677419354841</v>
      </c>
      <c r="AO11">
        <v>21335.548387096769</v>
      </c>
      <c r="AP11">
        <v>27654.096774193549</v>
      </c>
      <c r="AQ11">
        <v>23800.322580645159</v>
      </c>
      <c r="AR11">
        <v>29958.580645161292</v>
      </c>
      <c r="AS11">
        <v>31293.032258064519</v>
      </c>
      <c r="AT11">
        <v>25872.322580645159</v>
      </c>
      <c r="AU11">
        <v>23290.870967741939</v>
      </c>
      <c r="AV11">
        <v>40978.06451612903</v>
      </c>
      <c r="AW11">
        <v>39405.806451612902</v>
      </c>
      <c r="AX11">
        <v>34448.709677419363</v>
      </c>
      <c r="AY11">
        <v>22050</v>
      </c>
      <c r="AZ11">
        <v>25993.870967741939</v>
      </c>
      <c r="BA11">
        <v>38974.516129032258</v>
      </c>
      <c r="BB11">
        <v>25694.83870967742</v>
      </c>
      <c r="BC11">
        <v>20191.29032258064</v>
      </c>
      <c r="BD11">
        <v>35236.774193548386</v>
      </c>
      <c r="BE11">
        <v>32937.419354838712</v>
      </c>
      <c r="BF11">
        <v>26262.580645161292</v>
      </c>
      <c r="BG11">
        <v>22287.096774193549</v>
      </c>
      <c r="BH11">
        <v>24190.645161290318</v>
      </c>
      <c r="BI11">
        <v>48921.612903225803</v>
      </c>
      <c r="BJ11">
        <v>51940.322580645159</v>
      </c>
      <c r="BK11">
        <v>26544.61290322581</v>
      </c>
      <c r="BL11">
        <v>68681.967741935485</v>
      </c>
      <c r="BM11">
        <v>58567.903225806447</v>
      </c>
      <c r="BN11">
        <v>52100.161290322583</v>
      </c>
      <c r="BO11">
        <v>63131.516129032258</v>
      </c>
      <c r="BP11">
        <v>72350.096774193546</v>
      </c>
      <c r="BQ11">
        <v>54226</v>
      </c>
      <c r="BR11">
        <v>41392.612903225803</v>
      </c>
      <c r="BS11">
        <v>49190.741935483871</v>
      </c>
      <c r="BT11">
        <v>68525.225806451606</v>
      </c>
      <c r="BU11">
        <v>51959.870967741932</v>
      </c>
      <c r="BV11">
        <v>57310.193548387098</v>
      </c>
      <c r="BW11">
        <v>57069.677419354841</v>
      </c>
      <c r="BX11">
        <v>55320.741935483871</v>
      </c>
      <c r="BY11">
        <v>51901.548387096773</v>
      </c>
      <c r="BZ11">
        <v>61892.06451612903</v>
      </c>
      <c r="CA11">
        <v>57316.129032258068</v>
      </c>
      <c r="CB11">
        <v>69934.516129032258</v>
      </c>
      <c r="CC11">
        <v>78207.096774193546</v>
      </c>
      <c r="CD11">
        <v>64693.548387096773</v>
      </c>
      <c r="CE11">
        <v>54119.354838709667</v>
      </c>
      <c r="CF11">
        <v>87156.129032258061</v>
      </c>
      <c r="CG11">
        <v>31999.354838709682</v>
      </c>
      <c r="CH11">
        <v>71926.129032258061</v>
      </c>
      <c r="CI11">
        <v>71476.774193548394</v>
      </c>
      <c r="CJ11">
        <v>47128.06451612903</v>
      </c>
      <c r="CK11">
        <v>56635.806451612902</v>
      </c>
      <c r="CL11">
        <v>57399.677419354841</v>
      </c>
      <c r="CM11">
        <v>60099.032258064522</v>
      </c>
      <c r="CN11">
        <v>57324.838709677417</v>
      </c>
      <c r="CO11">
        <v>97453.870967741939</v>
      </c>
      <c r="CP11">
        <v>62897.193548387098</v>
      </c>
    </row>
    <row r="12" spans="1:94" x14ac:dyDescent="0.25">
      <c r="A12" t="s">
        <v>13</v>
      </c>
      <c r="B12">
        <v>3371.1290322580639</v>
      </c>
      <c r="C12">
        <v>5594.322580645161</v>
      </c>
      <c r="D12">
        <v>4300.1612903225796</v>
      </c>
      <c r="E12">
        <v>3341.8064516129029</v>
      </c>
      <c r="F12">
        <v>3483.7419354838712</v>
      </c>
      <c r="G12">
        <v>3086.9677419354839</v>
      </c>
      <c r="H12">
        <v>3754</v>
      </c>
      <c r="I12">
        <v>4287.5483870967746</v>
      </c>
      <c r="J12">
        <v>4230.6451612903229</v>
      </c>
      <c r="K12">
        <v>5409.9354838709678</v>
      </c>
      <c r="L12">
        <v>2357.9354838709678</v>
      </c>
      <c r="M12">
        <v>4509.6129032258068</v>
      </c>
      <c r="N12">
        <v>2372.4193548387102</v>
      </c>
      <c r="O12">
        <v>5195.4516129032254</v>
      </c>
      <c r="P12">
        <v>3717.645161290322</v>
      </c>
      <c r="Q12">
        <v>4064.83870967742</v>
      </c>
      <c r="R12">
        <v>5154.8387096774204</v>
      </c>
      <c r="S12">
        <v>3285.483870967742</v>
      </c>
      <c r="T12">
        <v>5423.5483870967746</v>
      </c>
      <c r="U12">
        <v>3525.8064516129029</v>
      </c>
      <c r="V12">
        <v>4049.0322580645161</v>
      </c>
      <c r="W12">
        <v>4068.3870967741941</v>
      </c>
      <c r="X12">
        <v>3618.3870967741941</v>
      </c>
      <c r="Y12">
        <v>3055.483870967742</v>
      </c>
      <c r="Z12">
        <v>3898.0645161290322</v>
      </c>
      <c r="AA12">
        <v>5526.1290322580644</v>
      </c>
      <c r="AB12">
        <v>6992.5806451612907</v>
      </c>
      <c r="AC12">
        <v>6887.0967741935483</v>
      </c>
      <c r="AD12">
        <v>6714.5161290322594</v>
      </c>
      <c r="AE12">
        <v>5883.5483870967746</v>
      </c>
      <c r="AF12">
        <v>3312.8064516129029</v>
      </c>
      <c r="AG12">
        <v>33350.709677419363</v>
      </c>
      <c r="AH12">
        <v>11860.93548387097</v>
      </c>
      <c r="AI12">
        <v>27831.451612903231</v>
      </c>
      <c r="AJ12">
        <v>17835.548387096769</v>
      </c>
      <c r="AK12">
        <v>24963.451612903231</v>
      </c>
      <c r="AL12">
        <v>22895.419354838708</v>
      </c>
      <c r="AM12">
        <v>18686.806451612902</v>
      </c>
      <c r="AN12">
        <v>24003.483870967739</v>
      </c>
      <c r="AO12">
        <v>27842.193548387098</v>
      </c>
      <c r="AP12">
        <v>14300.1935483871</v>
      </c>
      <c r="AQ12">
        <v>21081.741935483871</v>
      </c>
      <c r="AR12">
        <v>32060.516129032261</v>
      </c>
      <c r="AS12">
        <v>30004.22580645161</v>
      </c>
      <c r="AT12">
        <v>38178.838709677417</v>
      </c>
      <c r="AU12">
        <v>26834.483870967739</v>
      </c>
      <c r="AV12">
        <v>43024.838709677417</v>
      </c>
      <c r="AW12">
        <v>26860</v>
      </c>
      <c r="AX12">
        <v>29233.548387096769</v>
      </c>
      <c r="AY12">
        <v>16721.93548387097</v>
      </c>
      <c r="AZ12">
        <v>54573.870967741932</v>
      </c>
      <c r="BA12">
        <v>31629.032258064519</v>
      </c>
      <c r="BB12">
        <v>32369.032258064519</v>
      </c>
      <c r="BC12">
        <v>27908.38709677419</v>
      </c>
      <c r="BD12">
        <v>16450.322580645159</v>
      </c>
      <c r="BE12">
        <v>27267.741935483871</v>
      </c>
      <c r="BF12">
        <v>33661.93548387097</v>
      </c>
      <c r="BG12">
        <v>37384.516129032258</v>
      </c>
      <c r="BH12">
        <v>38143.548387096773</v>
      </c>
      <c r="BI12">
        <v>51725.483870967742</v>
      </c>
      <c r="BJ12">
        <v>44830.645161290333</v>
      </c>
      <c r="BK12">
        <v>21443.06451612903</v>
      </c>
      <c r="BL12">
        <v>39643.677419354841</v>
      </c>
      <c r="BM12">
        <v>49228.838709677417</v>
      </c>
      <c r="BN12">
        <v>53763.451612903227</v>
      </c>
      <c r="BO12">
        <v>51511.677419354841</v>
      </c>
      <c r="BP12">
        <v>49253.290322580637</v>
      </c>
      <c r="BQ12">
        <v>37968.483870967742</v>
      </c>
      <c r="BR12">
        <v>74269.129032258061</v>
      </c>
      <c r="BS12">
        <v>54573</v>
      </c>
      <c r="BT12">
        <v>52605.322580645159</v>
      </c>
      <c r="BU12">
        <v>53900.806451612902</v>
      </c>
      <c r="BV12">
        <v>58790.387096774197</v>
      </c>
      <c r="BW12">
        <v>57574.903225806447</v>
      </c>
      <c r="BX12">
        <v>43125.225806451614</v>
      </c>
      <c r="BY12">
        <v>34884.354838709667</v>
      </c>
      <c r="BZ12">
        <v>73254.354838709682</v>
      </c>
      <c r="CA12">
        <v>61603.225806451614</v>
      </c>
      <c r="CB12">
        <v>81644.838709677424</v>
      </c>
      <c r="CC12">
        <v>68331.93548387097</v>
      </c>
      <c r="CD12">
        <v>78207.419354838712</v>
      </c>
      <c r="CE12">
        <v>50285.483870967742</v>
      </c>
      <c r="CF12">
        <v>62160.645161290333</v>
      </c>
      <c r="CG12">
        <v>81380.645161290318</v>
      </c>
      <c r="CH12">
        <v>77844.193548387091</v>
      </c>
      <c r="CI12">
        <v>82772.580645161288</v>
      </c>
      <c r="CJ12">
        <v>84003.548387096773</v>
      </c>
      <c r="CK12">
        <v>69675.483870967742</v>
      </c>
      <c r="CL12">
        <v>60492.580645161288</v>
      </c>
      <c r="CM12">
        <v>92288.709677419349</v>
      </c>
      <c r="CN12">
        <v>49241.290322580637</v>
      </c>
      <c r="CO12">
        <v>50937.419354838712</v>
      </c>
      <c r="CP12">
        <v>68836.677419354834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Charts</vt:lpstr>
      <vt:lpstr>Data Age</vt:lpstr>
      <vt:lpstr>Energy</vt:lpstr>
      <vt:lpstr>Makespan</vt:lpstr>
      <vt:lpstr>Success Rate</vt:lpstr>
      <vt:lpstr>Load Edge</vt:lpstr>
      <vt:lpstr>Load Cloud</vt:lpstr>
      <vt:lpstr>Loads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Mehrab</dc:creator>
  <cp:lastModifiedBy>Mehrab Toghani</cp:lastModifiedBy>
  <cp:revision>2</cp:revision>
  <dcterms:created xsi:type="dcterms:W3CDTF">2015-06-05T18:17:20Z</dcterms:created>
  <dcterms:modified xsi:type="dcterms:W3CDTF">2025-04-22T20:11:20Z</dcterms:modified>
  <dc:language>en-US</dc:language>
</cp:coreProperties>
</file>