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https://d.docs.live.net/69618392bf80cf35/Desktop/quest/new/results-excel/"/>
    </mc:Choice>
  </mc:AlternateContent>
  <xr:revisionPtr revIDLastSave="24" documentId="11_564EA466880F49FA309311CD7DF2A68D608E3A75" xr6:coauthVersionLast="47" xr6:coauthVersionMax="47" xr10:uidLastSave="{CBA70D20-DD07-42C8-9104-54DA27045A5A}"/>
  <bookViews>
    <workbookView xWindow="1530" yWindow="915" windowWidth="21600" windowHeight="11295" tabRatio="500" xr2:uid="{00000000-000D-0000-FFFF-FFFF00000000}"/>
  </bookViews>
  <sheets>
    <sheet name="Charts" sheetId="9" r:id="rId1"/>
    <sheet name="Data Age" sheetId="2" r:id="rId2"/>
    <sheet name="Energy" sheetId="3" r:id="rId3"/>
    <sheet name="Makespan" sheetId="4" r:id="rId4"/>
    <sheet name="Success Rate" sheetId="5" r:id="rId5"/>
    <sheet name="Load Edge" sheetId="6" r:id="rId6"/>
    <sheet name="Load Cloud" sheetId="7" r:id="rId7"/>
    <sheet name="Loads" sheetId="8" r:id="rId8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75" i="9" l="1"/>
  <c r="T75" i="9"/>
  <c r="S75" i="9"/>
  <c r="U74" i="9"/>
  <c r="T74" i="9"/>
  <c r="S74" i="9"/>
  <c r="U73" i="9"/>
  <c r="U88" i="9" s="1"/>
  <c r="T73" i="9"/>
  <c r="T88" i="9" s="1"/>
  <c r="S73" i="9"/>
  <c r="S88" i="9" s="1"/>
  <c r="U72" i="9"/>
  <c r="U87" i="9" s="1"/>
  <c r="T72" i="9"/>
  <c r="S72" i="9"/>
  <c r="U71" i="9"/>
  <c r="T71" i="9"/>
  <c r="T86" i="9" s="1"/>
  <c r="S71" i="9"/>
  <c r="S86" i="9" s="1"/>
  <c r="U70" i="9"/>
  <c r="U85" i="9" s="1"/>
  <c r="T70" i="9"/>
  <c r="S70" i="9"/>
  <c r="U69" i="9"/>
  <c r="T69" i="9"/>
  <c r="S69" i="9"/>
  <c r="U68" i="9"/>
  <c r="U83" i="9" s="1"/>
  <c r="T68" i="9"/>
  <c r="S68" i="9"/>
  <c r="U44" i="9"/>
  <c r="T44" i="9"/>
  <c r="T59" i="9" s="1"/>
  <c r="S44" i="9"/>
  <c r="U43" i="9"/>
  <c r="U58" i="9" s="1"/>
  <c r="T43" i="9"/>
  <c r="S43" i="9"/>
  <c r="U42" i="9"/>
  <c r="U57" i="9" s="1"/>
  <c r="T42" i="9"/>
  <c r="T57" i="9" s="1"/>
  <c r="S42" i="9"/>
  <c r="U41" i="9"/>
  <c r="T41" i="9"/>
  <c r="S41" i="9"/>
  <c r="U40" i="9"/>
  <c r="T40" i="9"/>
  <c r="S40" i="9"/>
  <c r="U39" i="9"/>
  <c r="U54" i="9" s="1"/>
  <c r="T39" i="9"/>
  <c r="T54" i="9" s="1"/>
  <c r="S39" i="9"/>
  <c r="U38" i="9"/>
  <c r="U53" i="9" s="1"/>
  <c r="T38" i="9"/>
  <c r="S38" i="9"/>
  <c r="U37" i="9"/>
  <c r="U52" i="9" s="1"/>
  <c r="T37" i="9"/>
  <c r="T52" i="9" s="1"/>
  <c r="S37" i="9"/>
  <c r="S57" i="9" s="1"/>
  <c r="U10" i="9"/>
  <c r="T10" i="9"/>
  <c r="S10" i="9"/>
  <c r="U9" i="9"/>
  <c r="T9" i="9"/>
  <c r="S9" i="9"/>
  <c r="U8" i="9"/>
  <c r="U23" i="9" s="1"/>
  <c r="T8" i="9"/>
  <c r="S8" i="9"/>
  <c r="U7" i="9"/>
  <c r="T7" i="9"/>
  <c r="S7" i="9"/>
  <c r="U6" i="9"/>
  <c r="U21" i="9" s="1"/>
  <c r="T6" i="9"/>
  <c r="T21" i="9" s="1"/>
  <c r="S6" i="9"/>
  <c r="U5" i="9"/>
  <c r="U20" i="9" s="1"/>
  <c r="T5" i="9"/>
  <c r="S5" i="9"/>
  <c r="U4" i="9"/>
  <c r="T4" i="9"/>
  <c r="T19" i="9" s="1"/>
  <c r="S4" i="9"/>
  <c r="U3" i="9"/>
  <c r="U18" i="9" s="1"/>
  <c r="T3" i="9"/>
  <c r="T20" i="9" s="1"/>
  <c r="S3" i="9"/>
  <c r="T18" i="9"/>
  <c r="S22" i="9"/>
  <c r="T22" i="9"/>
  <c r="U22" i="9"/>
  <c r="S23" i="9"/>
  <c r="T23" i="9"/>
  <c r="U24" i="9"/>
  <c r="T25" i="9"/>
  <c r="U25" i="9"/>
  <c r="T56" i="9"/>
  <c r="U56" i="9"/>
  <c r="T83" i="9"/>
  <c r="U86" i="9"/>
  <c r="S87" i="9"/>
  <c r="T87" i="9"/>
  <c r="U84" i="9"/>
  <c r="T85" i="9"/>
  <c r="U89" i="9"/>
  <c r="T90" i="9"/>
  <c r="U90" i="9"/>
  <c r="S56" i="9" l="1"/>
  <c r="U55" i="9"/>
  <c r="T55" i="9"/>
  <c r="U59" i="9"/>
  <c r="S55" i="9"/>
  <c r="U19" i="9"/>
  <c r="S21" i="9"/>
  <c r="S85" i="9"/>
  <c r="S20" i="9"/>
  <c r="S90" i="9"/>
  <c r="S59" i="9"/>
  <c r="S25" i="9"/>
  <c r="T84" i="9"/>
  <c r="T53" i="9"/>
  <c r="T89" i="9"/>
  <c r="S84" i="9"/>
  <c r="T58" i="9"/>
  <c r="S53" i="9"/>
  <c r="T24" i="9"/>
  <c r="S19" i="9"/>
  <c r="S89" i="9"/>
  <c r="S58" i="9"/>
  <c r="S24" i="9"/>
  <c r="S83" i="9"/>
  <c r="S52" i="9"/>
  <c r="S18" i="9"/>
  <c r="S54" i="9"/>
</calcChain>
</file>

<file path=xl/sharedStrings.xml><?xml version="1.0" encoding="utf-8"?>
<sst xmlns="http://schemas.openxmlformats.org/spreadsheetml/2006/main" count="451" uniqueCount="23">
  <si>
    <t>Algorithm</t>
  </si>
  <si>
    <t>Load</t>
  </si>
  <si>
    <t>Average</t>
  </si>
  <si>
    <t>Min</t>
  </si>
  <si>
    <t>Max</t>
  </si>
  <si>
    <t>Std Dev</t>
  </si>
  <si>
    <t>QUEST</t>
  </si>
  <si>
    <t>QUEST_NDVFS</t>
  </si>
  <si>
    <t>Fuzzy</t>
  </si>
  <si>
    <t>NSGA3</t>
  </si>
  <si>
    <t>MQGA</t>
  </si>
  <si>
    <t>Greedy</t>
  </si>
  <si>
    <t>MOPSO</t>
  </si>
  <si>
    <t>RL</t>
  </si>
  <si>
    <t>Summary by Algorithm</t>
  </si>
  <si>
    <t>Average data for chart</t>
  </si>
  <si>
    <t>Algorithms</t>
  </si>
  <si>
    <t>All data for chart</t>
  </si>
  <si>
    <t>Edge</t>
  </si>
  <si>
    <t>Cloud</t>
  </si>
  <si>
    <t>Makespan</t>
  </si>
  <si>
    <t>Energy</t>
  </si>
  <si>
    <t>AoI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</si>
</sst>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TRUE&quot;;&quot;TRUE&quot;;&quot;FALSE&quot;"/>
  </numFmts>
  <fonts count="4" x14ac:knownFonts="1">
    <font>
      <sz val="11"/>
      <color theme="1"/>
      <name val="Calibri"/>
      <family val="2"/>
      <charset val="1"/>
    </font>
    <font>
      <b/>
      <sz val="11"/>
      <name val="Cambria"/>
      <family val="1"/>
    </font>
    <font>
      <b/>
      <sz val="11"/>
      <name val="Calibri"/>
      <family val="2"/>
    </font>
    <font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CCE5FF"/>
        <bgColor rgb="FFCCE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2" borderId="0" xfId="0" applyFont="1" applyFill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E5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Charts!$R$18</c:f>
              <c:strCache>
                <c:ptCount val="1"/>
                <c:pt idx="0">
                  <c:v>QUEST</c:v>
                </c:pt>
              </c:strCache>
            </c:strRef>
          </c:tx>
          <c:spPr>
            <a:pattFill prst="solidDmnd">
              <a:fgClr>
                <a:schemeClr val="accent1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numRef>
              <c:f>Charts!$S$17:$U$17</c:f>
              <c:numCache>
                <c:formatCode>General</c:formatCode>
                <c:ptCount val="3"/>
                <c:pt idx="0">
                  <c:v>24</c:v>
                </c:pt>
                <c:pt idx="1">
                  <c:v>46</c:v>
                </c:pt>
                <c:pt idx="2">
                  <c:v>100</c:v>
                </c:pt>
              </c:numCache>
            </c:numRef>
          </c:cat>
          <c:val>
            <c:numRef>
              <c:f>Charts!$S$18:$U$18</c:f>
              <c:numCache>
                <c:formatCode>General</c:formatCode>
                <c:ptCount val="3"/>
                <c:pt idx="0">
                  <c:v>1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64-4CFC-AD8F-A7F36C9429F4}"/>
            </c:ext>
          </c:extLst>
        </c:ser>
        <c:ser>
          <c:idx val="1"/>
          <c:order val="1"/>
          <c:tx>
            <c:strRef>
              <c:f>Charts!$R$19</c:f>
              <c:strCache>
                <c:ptCount val="1"/>
                <c:pt idx="0">
                  <c:v>QUEST_NDVFS</c:v>
                </c:pt>
              </c:strCache>
            </c:strRef>
          </c:tx>
          <c:spPr>
            <a:pattFill prst="sphere">
              <a:fgClr>
                <a:schemeClr val="accent5">
                  <a:lumMod val="50000"/>
                </a:schemeClr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numRef>
              <c:f>Charts!$S$17:$U$17</c:f>
              <c:numCache>
                <c:formatCode>General</c:formatCode>
                <c:ptCount val="3"/>
                <c:pt idx="0">
                  <c:v>24</c:v>
                </c:pt>
                <c:pt idx="1">
                  <c:v>46</c:v>
                </c:pt>
                <c:pt idx="2">
                  <c:v>100</c:v>
                </c:pt>
              </c:numCache>
            </c:numRef>
          </c:cat>
          <c:val>
            <c:numRef>
              <c:f>Charts!$S$19:$U$19</c:f>
              <c:numCache>
                <c:formatCode>General</c:formatCode>
                <c:ptCount val="3"/>
                <c:pt idx="0">
                  <c:v>0.96235201057652831</c:v>
                </c:pt>
                <c:pt idx="1">
                  <c:v>0.97599835742497931</c:v>
                </c:pt>
                <c:pt idx="2">
                  <c:v>0.98527184512819299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64-4CFC-AD8F-A7F36C9429F4}"/>
            </c:ext>
          </c:extLst>
        </c:ser>
        <c:ser>
          <c:idx val="2"/>
          <c:order val="2"/>
          <c:tx>
            <c:strRef>
              <c:f>Charts!$R$20</c:f>
              <c:strCache>
                <c:ptCount val="1"/>
                <c:pt idx="0">
                  <c:v>Fuzzy</c:v>
                </c:pt>
              </c:strCache>
            </c:strRef>
          </c:tx>
          <c:spPr>
            <a:pattFill prst="zigZag">
              <a:fgClr>
                <a:schemeClr val="accent3">
                  <a:lumMod val="75000"/>
                </a:schemeClr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numRef>
              <c:f>Charts!$S$17:$U$17</c:f>
              <c:numCache>
                <c:formatCode>General</c:formatCode>
                <c:ptCount val="3"/>
                <c:pt idx="0">
                  <c:v>24</c:v>
                </c:pt>
                <c:pt idx="1">
                  <c:v>46</c:v>
                </c:pt>
                <c:pt idx="2">
                  <c:v>100</c:v>
                </c:pt>
              </c:numCache>
            </c:numRef>
          </c:cat>
          <c:val>
            <c:numRef>
              <c:f>Charts!$S$20:$U$20</c:f>
              <c:numCache>
                <c:formatCode>General</c:formatCode>
                <c:ptCount val="3"/>
                <c:pt idx="0">
                  <c:v>0.97893317703280935</c:v>
                </c:pt>
                <c:pt idx="1">
                  <c:v>1.00743641830133</c:v>
                </c:pt>
                <c:pt idx="2">
                  <c:v>1.298736387484152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64-4CFC-AD8F-A7F36C9429F4}"/>
            </c:ext>
          </c:extLst>
        </c:ser>
        <c:ser>
          <c:idx val="3"/>
          <c:order val="3"/>
          <c:tx>
            <c:strRef>
              <c:f>Charts!$R$21</c:f>
              <c:strCache>
                <c:ptCount val="1"/>
                <c:pt idx="0">
                  <c:v>NSGA3</c:v>
                </c:pt>
              </c:strCache>
            </c:strRef>
          </c:tx>
          <c:spPr>
            <a:pattFill prst="wdDnDiag">
              <a:fgClr>
                <a:schemeClr val="accent4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numRef>
              <c:f>Charts!$S$17:$U$17</c:f>
              <c:numCache>
                <c:formatCode>General</c:formatCode>
                <c:ptCount val="3"/>
                <c:pt idx="0">
                  <c:v>24</c:v>
                </c:pt>
                <c:pt idx="1">
                  <c:v>46</c:v>
                </c:pt>
                <c:pt idx="2">
                  <c:v>100</c:v>
                </c:pt>
              </c:numCache>
            </c:numRef>
          </c:cat>
          <c:val>
            <c:numRef>
              <c:f>Charts!$S$21:$U$21</c:f>
              <c:numCache>
                <c:formatCode>General</c:formatCode>
                <c:ptCount val="3"/>
                <c:pt idx="0">
                  <c:v>1.1137431278275518</c:v>
                </c:pt>
                <c:pt idx="1">
                  <c:v>1.1955699616416715</c:v>
                </c:pt>
                <c:pt idx="2">
                  <c:v>1.3641295382823291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464-4CFC-AD8F-A7F36C9429F4}"/>
            </c:ext>
          </c:extLst>
        </c:ser>
        <c:ser>
          <c:idx val="4"/>
          <c:order val="4"/>
          <c:tx>
            <c:strRef>
              <c:f>Charts!$R$22</c:f>
              <c:strCache>
                <c:ptCount val="1"/>
                <c:pt idx="0">
                  <c:v>MQGA</c:v>
                </c:pt>
              </c:strCache>
            </c:strRef>
          </c:tx>
          <c:spPr>
            <a:pattFill prst="lgConfetti">
              <a:fgClr>
                <a:schemeClr val="accent6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numRef>
              <c:f>Charts!$S$17:$U$17</c:f>
              <c:numCache>
                <c:formatCode>General</c:formatCode>
                <c:ptCount val="3"/>
                <c:pt idx="0">
                  <c:v>24</c:v>
                </c:pt>
                <c:pt idx="1">
                  <c:v>46</c:v>
                </c:pt>
                <c:pt idx="2">
                  <c:v>100</c:v>
                </c:pt>
              </c:numCache>
            </c:numRef>
          </c:cat>
          <c:val>
            <c:numRef>
              <c:f>Charts!$S$22:$U$22</c:f>
              <c:numCache>
                <c:formatCode>General</c:formatCode>
                <c:ptCount val="3"/>
                <c:pt idx="0">
                  <c:v>0.99847089881475093</c:v>
                </c:pt>
                <c:pt idx="1">
                  <c:v>1.1345731703106989</c:v>
                </c:pt>
                <c:pt idx="2">
                  <c:v>1.2397449005924281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464-4CFC-AD8F-A7F36C9429F4}"/>
            </c:ext>
          </c:extLst>
        </c:ser>
        <c:ser>
          <c:idx val="5"/>
          <c:order val="5"/>
          <c:tx>
            <c:strRef>
              <c:f>Charts!$R$23</c:f>
              <c:strCache>
                <c:ptCount val="1"/>
                <c:pt idx="0">
                  <c:v>Greedy</c:v>
                </c:pt>
              </c:strCache>
            </c:strRef>
          </c:tx>
          <c:spPr>
            <a:pattFill prst="wdUpDiag">
              <a:fgClr>
                <a:srgbClr val="7030A0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numRef>
              <c:f>Charts!$S$17:$U$17</c:f>
              <c:numCache>
                <c:formatCode>General</c:formatCode>
                <c:ptCount val="3"/>
                <c:pt idx="0">
                  <c:v>24</c:v>
                </c:pt>
                <c:pt idx="1">
                  <c:v>46</c:v>
                </c:pt>
                <c:pt idx="2">
                  <c:v>100</c:v>
                </c:pt>
              </c:numCache>
            </c:numRef>
          </c:cat>
          <c:val>
            <c:numRef>
              <c:f>Charts!$S$23:$U$23</c:f>
              <c:numCache>
                <c:formatCode>General</c:formatCode>
                <c:ptCount val="3"/>
                <c:pt idx="0">
                  <c:v>1.1091727453676767</c:v>
                </c:pt>
                <c:pt idx="1">
                  <c:v>1.1960453367766555</c:v>
                </c:pt>
                <c:pt idx="2">
                  <c:v>1.3467862572504321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464-4CFC-AD8F-A7F36C9429F4}"/>
            </c:ext>
          </c:extLst>
        </c:ser>
        <c:ser>
          <c:idx val="6"/>
          <c:order val="6"/>
          <c:tx>
            <c:strRef>
              <c:f>Charts!$R$24</c:f>
              <c:strCache>
                <c:ptCount val="1"/>
                <c:pt idx="0">
                  <c:v>MOPSO</c:v>
                </c:pt>
              </c:strCache>
            </c:strRef>
          </c:tx>
          <c:spPr>
            <a:pattFill prst="openDmnd">
              <a:fgClr>
                <a:schemeClr val="tx1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numRef>
              <c:f>Charts!$S$17:$U$17</c:f>
              <c:numCache>
                <c:formatCode>General</c:formatCode>
                <c:ptCount val="3"/>
                <c:pt idx="0">
                  <c:v>24</c:v>
                </c:pt>
                <c:pt idx="1">
                  <c:v>46</c:v>
                </c:pt>
                <c:pt idx="2">
                  <c:v>100</c:v>
                </c:pt>
              </c:numCache>
            </c:numRef>
          </c:cat>
          <c:val>
            <c:numRef>
              <c:f>Charts!$S$24:$U$24</c:f>
              <c:numCache>
                <c:formatCode>General</c:formatCode>
                <c:ptCount val="3"/>
                <c:pt idx="0">
                  <c:v>1.0697247869875945</c:v>
                </c:pt>
                <c:pt idx="1">
                  <c:v>1.1712984676883595</c:v>
                </c:pt>
                <c:pt idx="2">
                  <c:v>1.3295858551801536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464-4CFC-AD8F-A7F36C9429F4}"/>
            </c:ext>
          </c:extLst>
        </c:ser>
        <c:ser>
          <c:idx val="7"/>
          <c:order val="7"/>
          <c:tx>
            <c:strRef>
              <c:f>Charts!$R$25</c:f>
              <c:strCache>
                <c:ptCount val="1"/>
                <c:pt idx="0">
                  <c:v>RL</c:v>
                </c:pt>
              </c:strCache>
            </c:strRef>
          </c:tx>
          <c:spPr>
            <a:pattFill prst="dkHorz">
              <a:fgClr>
                <a:schemeClr val="accent2">
                  <a:lumMod val="75000"/>
                </a:schemeClr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numRef>
              <c:f>Charts!$S$17:$U$17</c:f>
              <c:numCache>
                <c:formatCode>General</c:formatCode>
                <c:ptCount val="3"/>
                <c:pt idx="0">
                  <c:v>24</c:v>
                </c:pt>
                <c:pt idx="1">
                  <c:v>46</c:v>
                </c:pt>
                <c:pt idx="2">
                  <c:v>100</c:v>
                </c:pt>
              </c:numCache>
            </c:numRef>
          </c:cat>
          <c:val>
            <c:numRef>
              <c:f>Charts!$S$25:$U$25</c:f>
              <c:numCache>
                <c:formatCode>General</c:formatCode>
                <c:ptCount val="3"/>
                <c:pt idx="0">
                  <c:v>1.073744629855635</c:v>
                </c:pt>
                <c:pt idx="1">
                  <c:v>1.1383578369751473</c:v>
                </c:pt>
                <c:pt idx="2">
                  <c:v>1.3012095522122236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C464-4CFC-AD8F-A7F36C9429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527954415"/>
        <c:axId val="1527962095"/>
      </c:barChart>
      <c:catAx>
        <c:axId val="152795441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4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40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Epigenomics</a:t>
                </a:r>
                <a:r>
                  <a:rPr lang="en-US" sz="4000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Loads</a:t>
                </a:r>
                <a:endParaRPr lang="en-US" sz="4000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0.39894481913380175"/>
              <c:y val="0.8487165370294493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4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40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27962095"/>
        <c:crosses val="autoZero"/>
        <c:auto val="1"/>
        <c:lblAlgn val="ctr"/>
        <c:lblOffset val="100"/>
        <c:noMultiLvlLbl val="0"/>
      </c:catAx>
      <c:valAx>
        <c:axId val="1527962095"/>
        <c:scaling>
          <c:orientation val="minMax"/>
          <c:max val="1.4"/>
          <c:min val="0.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40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400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Norm. AoI </a:t>
                </a:r>
              </a:p>
            </c:rich>
          </c:tx>
          <c:layout>
            <c:manualLayout>
              <c:xMode val="edge"/>
              <c:yMode val="edge"/>
              <c:x val="6.8544502068875759E-4"/>
              <c:y val="0.1902982681709721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40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0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40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27954415"/>
        <c:crosses val="autoZero"/>
        <c:crossBetween val="between"/>
        <c:majorUnit val="0.1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" l="0" r="0" t="0" header="0" footer="0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Charts!$R$52</c:f>
              <c:strCache>
                <c:ptCount val="1"/>
                <c:pt idx="0">
                  <c:v>QUEST</c:v>
                </c:pt>
              </c:strCache>
            </c:strRef>
          </c:tx>
          <c:spPr>
            <a:pattFill prst="solidDmnd">
              <a:fgClr>
                <a:schemeClr val="accent1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percentage"/>
            <c:noEndCap val="0"/>
            <c:val val="5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Charts!$S$51:$U$51</c:f>
              <c:numCache>
                <c:formatCode>General</c:formatCode>
                <c:ptCount val="3"/>
                <c:pt idx="0">
                  <c:v>24</c:v>
                </c:pt>
                <c:pt idx="1">
                  <c:v>46</c:v>
                </c:pt>
                <c:pt idx="2">
                  <c:v>100</c:v>
                </c:pt>
              </c:numCache>
            </c:numRef>
          </c:cat>
          <c:val>
            <c:numRef>
              <c:f>Charts!$S$52:$U$52</c:f>
              <c:numCache>
                <c:formatCode>General</c:formatCode>
                <c:ptCount val="3"/>
                <c:pt idx="0">
                  <c:v>1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A3-4201-956E-628905197AD5}"/>
            </c:ext>
          </c:extLst>
        </c:ser>
        <c:ser>
          <c:idx val="1"/>
          <c:order val="1"/>
          <c:tx>
            <c:strRef>
              <c:f>Charts!$R$53</c:f>
              <c:strCache>
                <c:ptCount val="1"/>
                <c:pt idx="0">
                  <c:v>QUEST_NDVFS</c:v>
                </c:pt>
              </c:strCache>
            </c:strRef>
          </c:tx>
          <c:spPr>
            <a:pattFill prst="sphere">
              <a:fgClr>
                <a:schemeClr val="accent5">
                  <a:lumMod val="50000"/>
                </a:schemeClr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percentage"/>
            <c:noEndCap val="0"/>
            <c:val val="5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Charts!$S$51:$U$51</c:f>
              <c:numCache>
                <c:formatCode>General</c:formatCode>
                <c:ptCount val="3"/>
                <c:pt idx="0">
                  <c:v>24</c:v>
                </c:pt>
                <c:pt idx="1">
                  <c:v>46</c:v>
                </c:pt>
                <c:pt idx="2">
                  <c:v>100</c:v>
                </c:pt>
              </c:numCache>
            </c:numRef>
          </c:cat>
          <c:val>
            <c:numRef>
              <c:f>Charts!$S$53:$U$53</c:f>
              <c:numCache>
                <c:formatCode>General</c:formatCode>
                <c:ptCount val="3"/>
                <c:pt idx="0">
                  <c:v>0.89950873204692761</c:v>
                </c:pt>
                <c:pt idx="1">
                  <c:v>0.89925173820689508</c:v>
                </c:pt>
                <c:pt idx="2">
                  <c:v>0.90468143704806658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A3-4201-956E-628905197AD5}"/>
            </c:ext>
          </c:extLst>
        </c:ser>
        <c:ser>
          <c:idx val="2"/>
          <c:order val="2"/>
          <c:tx>
            <c:strRef>
              <c:f>Charts!$R$54</c:f>
              <c:strCache>
                <c:ptCount val="1"/>
                <c:pt idx="0">
                  <c:v>Fuzzy</c:v>
                </c:pt>
              </c:strCache>
            </c:strRef>
          </c:tx>
          <c:spPr>
            <a:pattFill prst="zigZag">
              <a:fgClr>
                <a:schemeClr val="accent3">
                  <a:lumMod val="75000"/>
                </a:schemeClr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percentage"/>
            <c:noEndCap val="0"/>
            <c:val val="5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Charts!$S$51:$U$51</c:f>
              <c:numCache>
                <c:formatCode>General</c:formatCode>
                <c:ptCount val="3"/>
                <c:pt idx="0">
                  <c:v>24</c:v>
                </c:pt>
                <c:pt idx="1">
                  <c:v>46</c:v>
                </c:pt>
                <c:pt idx="2">
                  <c:v>100</c:v>
                </c:pt>
              </c:numCache>
            </c:numRef>
          </c:cat>
          <c:val>
            <c:numRef>
              <c:f>Charts!$S$54:$U$54</c:f>
              <c:numCache>
                <c:formatCode>General</c:formatCode>
                <c:ptCount val="3"/>
                <c:pt idx="0">
                  <c:v>0.99198186800985444</c:v>
                </c:pt>
                <c:pt idx="1">
                  <c:v>0.94122880319108382</c:v>
                </c:pt>
                <c:pt idx="2">
                  <c:v>1.5094453305543136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0A3-4201-956E-628905197AD5}"/>
            </c:ext>
          </c:extLst>
        </c:ser>
        <c:ser>
          <c:idx val="3"/>
          <c:order val="3"/>
          <c:tx>
            <c:strRef>
              <c:f>Charts!$R$55</c:f>
              <c:strCache>
                <c:ptCount val="1"/>
                <c:pt idx="0">
                  <c:v>NSGA3</c:v>
                </c:pt>
              </c:strCache>
            </c:strRef>
          </c:tx>
          <c:spPr>
            <a:pattFill prst="wdDnDiag">
              <a:fgClr>
                <a:schemeClr val="accent4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percentage"/>
            <c:noEndCap val="0"/>
            <c:val val="5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Charts!$S$51:$U$51</c:f>
              <c:numCache>
                <c:formatCode>General</c:formatCode>
                <c:ptCount val="3"/>
                <c:pt idx="0">
                  <c:v>24</c:v>
                </c:pt>
                <c:pt idx="1">
                  <c:v>46</c:v>
                </c:pt>
                <c:pt idx="2">
                  <c:v>100</c:v>
                </c:pt>
              </c:numCache>
            </c:numRef>
          </c:cat>
          <c:val>
            <c:numRef>
              <c:f>Charts!$S$55:$U$55</c:f>
              <c:numCache>
                <c:formatCode>General</c:formatCode>
                <c:ptCount val="3"/>
                <c:pt idx="0">
                  <c:v>1.0676327349558985</c:v>
                </c:pt>
                <c:pt idx="1">
                  <c:v>1.1524100818053153</c:v>
                </c:pt>
                <c:pt idx="2">
                  <c:v>1.7748573556050737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0A3-4201-956E-628905197AD5}"/>
            </c:ext>
          </c:extLst>
        </c:ser>
        <c:ser>
          <c:idx val="4"/>
          <c:order val="4"/>
          <c:tx>
            <c:strRef>
              <c:f>Charts!$R$56</c:f>
              <c:strCache>
                <c:ptCount val="1"/>
                <c:pt idx="0">
                  <c:v>MQGA</c:v>
                </c:pt>
              </c:strCache>
            </c:strRef>
          </c:tx>
          <c:spPr>
            <a:pattFill prst="lgConfetti">
              <a:fgClr>
                <a:schemeClr val="accent6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percentage"/>
            <c:noEndCap val="0"/>
            <c:val val="5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Charts!$S$51:$U$51</c:f>
              <c:numCache>
                <c:formatCode>General</c:formatCode>
                <c:ptCount val="3"/>
                <c:pt idx="0">
                  <c:v>24</c:v>
                </c:pt>
                <c:pt idx="1">
                  <c:v>46</c:v>
                </c:pt>
                <c:pt idx="2">
                  <c:v>100</c:v>
                </c:pt>
              </c:numCache>
            </c:numRef>
          </c:cat>
          <c:val>
            <c:numRef>
              <c:f>Charts!$S$56:$U$56</c:f>
              <c:numCache>
                <c:formatCode>General</c:formatCode>
                <c:ptCount val="3"/>
                <c:pt idx="0">
                  <c:v>0.97141941019347744</c:v>
                </c:pt>
                <c:pt idx="1">
                  <c:v>1.050283106233979</c:v>
                </c:pt>
                <c:pt idx="2">
                  <c:v>1.4813228570828225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0A3-4201-956E-628905197AD5}"/>
            </c:ext>
          </c:extLst>
        </c:ser>
        <c:ser>
          <c:idx val="5"/>
          <c:order val="5"/>
          <c:tx>
            <c:strRef>
              <c:f>Charts!$R$57</c:f>
              <c:strCache>
                <c:ptCount val="1"/>
                <c:pt idx="0">
                  <c:v>Greedy</c:v>
                </c:pt>
              </c:strCache>
            </c:strRef>
          </c:tx>
          <c:spPr>
            <a:pattFill prst="wdUpDiag">
              <a:fgClr>
                <a:srgbClr val="7030A0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percentage"/>
            <c:noEndCap val="0"/>
            <c:val val="5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Charts!$S$51:$U$51</c:f>
              <c:numCache>
                <c:formatCode>General</c:formatCode>
                <c:ptCount val="3"/>
                <c:pt idx="0">
                  <c:v>24</c:v>
                </c:pt>
                <c:pt idx="1">
                  <c:v>46</c:v>
                </c:pt>
                <c:pt idx="2">
                  <c:v>100</c:v>
                </c:pt>
              </c:numCache>
            </c:numRef>
          </c:cat>
          <c:val>
            <c:numRef>
              <c:f>Charts!$S$57:$U$57</c:f>
              <c:numCache>
                <c:formatCode>General</c:formatCode>
                <c:ptCount val="3"/>
                <c:pt idx="0">
                  <c:v>1.0532047837975533</c:v>
                </c:pt>
                <c:pt idx="1">
                  <c:v>1.2220309849383313</c:v>
                </c:pt>
                <c:pt idx="2">
                  <c:v>1.6980137350540083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0A3-4201-956E-628905197AD5}"/>
            </c:ext>
          </c:extLst>
        </c:ser>
        <c:ser>
          <c:idx val="6"/>
          <c:order val="6"/>
          <c:tx>
            <c:strRef>
              <c:f>Charts!$R$58</c:f>
              <c:strCache>
                <c:ptCount val="1"/>
                <c:pt idx="0">
                  <c:v>MOPSO</c:v>
                </c:pt>
              </c:strCache>
            </c:strRef>
          </c:tx>
          <c:spPr>
            <a:pattFill prst="openDmnd">
              <a:fgClr>
                <a:schemeClr val="tx1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percentage"/>
            <c:noEndCap val="0"/>
            <c:val val="5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Charts!$S$51:$U$51</c:f>
              <c:numCache>
                <c:formatCode>General</c:formatCode>
                <c:ptCount val="3"/>
                <c:pt idx="0">
                  <c:v>24</c:v>
                </c:pt>
                <c:pt idx="1">
                  <c:v>46</c:v>
                </c:pt>
                <c:pt idx="2">
                  <c:v>100</c:v>
                </c:pt>
              </c:numCache>
            </c:numRef>
          </c:cat>
          <c:val>
            <c:numRef>
              <c:f>Charts!$S$58:$U$58</c:f>
              <c:numCache>
                <c:formatCode>General</c:formatCode>
                <c:ptCount val="3"/>
                <c:pt idx="0">
                  <c:v>1.0144889300225144</c:v>
                </c:pt>
                <c:pt idx="1">
                  <c:v>1.1899369117674374</c:v>
                </c:pt>
                <c:pt idx="2">
                  <c:v>1.7364595382209096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0A3-4201-956E-628905197AD5}"/>
            </c:ext>
          </c:extLst>
        </c:ser>
        <c:ser>
          <c:idx val="7"/>
          <c:order val="7"/>
          <c:tx>
            <c:strRef>
              <c:f>Charts!$R$59</c:f>
              <c:strCache>
                <c:ptCount val="1"/>
                <c:pt idx="0">
                  <c:v>RL</c:v>
                </c:pt>
              </c:strCache>
            </c:strRef>
          </c:tx>
          <c:spPr>
            <a:pattFill prst="dkHorz">
              <a:fgClr>
                <a:schemeClr val="accent2">
                  <a:lumMod val="75000"/>
                </a:schemeClr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percentage"/>
            <c:noEndCap val="0"/>
            <c:val val="5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Charts!$S$51:$U$51</c:f>
              <c:numCache>
                <c:formatCode>General</c:formatCode>
                <c:ptCount val="3"/>
                <c:pt idx="0">
                  <c:v>24</c:v>
                </c:pt>
                <c:pt idx="1">
                  <c:v>46</c:v>
                </c:pt>
                <c:pt idx="2">
                  <c:v>100</c:v>
                </c:pt>
              </c:numCache>
            </c:numRef>
          </c:cat>
          <c:val>
            <c:numRef>
              <c:f>Charts!$S$59:$U$59</c:f>
              <c:numCache>
                <c:formatCode>General</c:formatCode>
                <c:ptCount val="3"/>
                <c:pt idx="0">
                  <c:v>1.0011626376748091</c:v>
                </c:pt>
                <c:pt idx="1">
                  <c:v>1.1230703975267415</c:v>
                </c:pt>
                <c:pt idx="2">
                  <c:v>1.714998467300842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C0A3-4201-956E-628905197A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527954415"/>
        <c:axId val="1527962095"/>
      </c:barChart>
      <c:catAx>
        <c:axId val="152795441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4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40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Epigenomics</a:t>
                </a:r>
                <a:r>
                  <a:rPr lang="en-US" sz="4000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Loads</a:t>
                </a:r>
                <a:endParaRPr lang="en-US" sz="4000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0.39894481913380175"/>
              <c:y val="0.8487165370294493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4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40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27962095"/>
        <c:crosses val="autoZero"/>
        <c:auto val="1"/>
        <c:lblAlgn val="ctr"/>
        <c:lblOffset val="100"/>
        <c:noMultiLvlLbl val="0"/>
      </c:catAx>
      <c:valAx>
        <c:axId val="1527962095"/>
        <c:scaling>
          <c:orientation val="minMax"/>
          <c:max val="2"/>
          <c:min val="0.6000000000000000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40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400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Norm. Energy Cons. </a:t>
                </a:r>
              </a:p>
            </c:rich>
          </c:tx>
          <c:layout>
            <c:manualLayout>
              <c:xMode val="edge"/>
              <c:yMode val="edge"/>
              <c:x val="6.8544502068875759E-4"/>
              <c:y val="3.6378652606455841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40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0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40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27954415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" l="0" r="0" t="0" header="0" footer="0"/>
    <c:pageSetup orientation="portrait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Charts!$R$83</c:f>
              <c:strCache>
                <c:ptCount val="1"/>
                <c:pt idx="0">
                  <c:v>QUEST</c:v>
                </c:pt>
              </c:strCache>
            </c:strRef>
          </c:tx>
          <c:spPr>
            <a:pattFill prst="solidDmnd">
              <a:fgClr>
                <a:schemeClr val="accent1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numRef>
              <c:f>Charts!$S$82:$U$82</c:f>
              <c:numCache>
                <c:formatCode>General</c:formatCode>
                <c:ptCount val="3"/>
                <c:pt idx="0">
                  <c:v>24</c:v>
                </c:pt>
                <c:pt idx="1">
                  <c:v>46</c:v>
                </c:pt>
                <c:pt idx="2">
                  <c:v>100</c:v>
                </c:pt>
              </c:numCache>
            </c:numRef>
          </c:cat>
          <c:val>
            <c:numRef>
              <c:f>Charts!$S$83:$U$83</c:f>
              <c:numCache>
                <c:formatCode>General</c:formatCode>
                <c:ptCount val="3"/>
                <c:pt idx="0">
                  <c:v>1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82-4581-B2A2-F190A8337FC1}"/>
            </c:ext>
          </c:extLst>
        </c:ser>
        <c:ser>
          <c:idx val="1"/>
          <c:order val="1"/>
          <c:tx>
            <c:strRef>
              <c:f>Charts!$R$84</c:f>
              <c:strCache>
                <c:ptCount val="1"/>
                <c:pt idx="0">
                  <c:v>QUEST_NDVFS</c:v>
                </c:pt>
              </c:strCache>
            </c:strRef>
          </c:tx>
          <c:spPr>
            <a:pattFill prst="sphere">
              <a:fgClr>
                <a:schemeClr val="accent5">
                  <a:lumMod val="50000"/>
                </a:schemeClr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numRef>
              <c:f>Charts!$S$82:$U$82</c:f>
              <c:numCache>
                <c:formatCode>General</c:formatCode>
                <c:ptCount val="3"/>
                <c:pt idx="0">
                  <c:v>24</c:v>
                </c:pt>
                <c:pt idx="1">
                  <c:v>46</c:v>
                </c:pt>
                <c:pt idx="2">
                  <c:v>100</c:v>
                </c:pt>
              </c:numCache>
            </c:numRef>
          </c:cat>
          <c:val>
            <c:numRef>
              <c:f>Charts!$S$84:$U$84</c:f>
              <c:numCache>
                <c:formatCode>General</c:formatCode>
                <c:ptCount val="3"/>
                <c:pt idx="0">
                  <c:v>0.8898985968302433</c:v>
                </c:pt>
                <c:pt idx="1">
                  <c:v>0.88512478734362865</c:v>
                </c:pt>
                <c:pt idx="2">
                  <c:v>0.88563147489351413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182-4581-B2A2-F190A8337FC1}"/>
            </c:ext>
          </c:extLst>
        </c:ser>
        <c:ser>
          <c:idx val="2"/>
          <c:order val="2"/>
          <c:tx>
            <c:strRef>
              <c:f>Charts!$R$85</c:f>
              <c:strCache>
                <c:ptCount val="1"/>
                <c:pt idx="0">
                  <c:v>Fuzzy</c:v>
                </c:pt>
              </c:strCache>
            </c:strRef>
          </c:tx>
          <c:spPr>
            <a:pattFill prst="zigZag">
              <a:fgClr>
                <a:schemeClr val="accent3">
                  <a:lumMod val="75000"/>
                </a:schemeClr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numRef>
              <c:f>Charts!$S$82:$U$82</c:f>
              <c:numCache>
                <c:formatCode>General</c:formatCode>
                <c:ptCount val="3"/>
                <c:pt idx="0">
                  <c:v>24</c:v>
                </c:pt>
                <c:pt idx="1">
                  <c:v>46</c:v>
                </c:pt>
                <c:pt idx="2">
                  <c:v>100</c:v>
                </c:pt>
              </c:numCache>
            </c:numRef>
          </c:cat>
          <c:val>
            <c:numRef>
              <c:f>Charts!$S$85:$U$85</c:f>
              <c:numCache>
                <c:formatCode>General</c:formatCode>
                <c:ptCount val="3"/>
                <c:pt idx="0">
                  <c:v>0.93711386176171507</c:v>
                </c:pt>
                <c:pt idx="1">
                  <c:v>0.8703339679828741</c:v>
                </c:pt>
                <c:pt idx="2">
                  <c:v>1.4376931178620624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182-4581-B2A2-F190A8337FC1}"/>
            </c:ext>
          </c:extLst>
        </c:ser>
        <c:ser>
          <c:idx val="3"/>
          <c:order val="3"/>
          <c:tx>
            <c:strRef>
              <c:f>Charts!$R$86</c:f>
              <c:strCache>
                <c:ptCount val="1"/>
                <c:pt idx="0">
                  <c:v>NSGA3</c:v>
                </c:pt>
              </c:strCache>
            </c:strRef>
          </c:tx>
          <c:spPr>
            <a:pattFill prst="wdDnDiag">
              <a:fgClr>
                <a:schemeClr val="accent4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numRef>
              <c:f>Charts!$S$82:$U$82</c:f>
              <c:numCache>
                <c:formatCode>General</c:formatCode>
                <c:ptCount val="3"/>
                <c:pt idx="0">
                  <c:v>24</c:v>
                </c:pt>
                <c:pt idx="1">
                  <c:v>46</c:v>
                </c:pt>
                <c:pt idx="2">
                  <c:v>100</c:v>
                </c:pt>
              </c:numCache>
            </c:numRef>
          </c:cat>
          <c:val>
            <c:numRef>
              <c:f>Charts!$S$86:$U$86</c:f>
              <c:numCache>
                <c:formatCode>General</c:formatCode>
                <c:ptCount val="3"/>
                <c:pt idx="0">
                  <c:v>1.1168577883512922</c:v>
                </c:pt>
                <c:pt idx="1">
                  <c:v>1.1768131417937171</c:v>
                </c:pt>
                <c:pt idx="2">
                  <c:v>1.8340246430373641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182-4581-B2A2-F190A8337FC1}"/>
            </c:ext>
          </c:extLst>
        </c:ser>
        <c:ser>
          <c:idx val="4"/>
          <c:order val="4"/>
          <c:tx>
            <c:strRef>
              <c:f>Charts!$R$87</c:f>
              <c:strCache>
                <c:ptCount val="1"/>
                <c:pt idx="0">
                  <c:v>MQGA</c:v>
                </c:pt>
              </c:strCache>
            </c:strRef>
          </c:tx>
          <c:spPr>
            <a:pattFill prst="lgConfetti">
              <a:fgClr>
                <a:schemeClr val="accent6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numRef>
              <c:f>Charts!$S$82:$U$82</c:f>
              <c:numCache>
                <c:formatCode>General</c:formatCode>
                <c:ptCount val="3"/>
                <c:pt idx="0">
                  <c:v>24</c:v>
                </c:pt>
                <c:pt idx="1">
                  <c:v>46</c:v>
                </c:pt>
                <c:pt idx="2">
                  <c:v>100</c:v>
                </c:pt>
              </c:numCache>
            </c:numRef>
          </c:cat>
          <c:val>
            <c:numRef>
              <c:f>Charts!$S$87:$U$87</c:f>
              <c:numCache>
                <c:formatCode>General</c:formatCode>
                <c:ptCount val="3"/>
                <c:pt idx="0">
                  <c:v>0.93227357724479354</c:v>
                </c:pt>
                <c:pt idx="1">
                  <c:v>1.0056229043491964</c:v>
                </c:pt>
                <c:pt idx="2">
                  <c:v>1.4678653146759417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182-4581-B2A2-F190A8337FC1}"/>
            </c:ext>
          </c:extLst>
        </c:ser>
        <c:ser>
          <c:idx val="5"/>
          <c:order val="5"/>
          <c:tx>
            <c:strRef>
              <c:f>Charts!$R$88</c:f>
              <c:strCache>
                <c:ptCount val="1"/>
                <c:pt idx="0">
                  <c:v>Greedy</c:v>
                </c:pt>
              </c:strCache>
            </c:strRef>
          </c:tx>
          <c:spPr>
            <a:pattFill prst="wdUpDiag">
              <a:fgClr>
                <a:srgbClr val="7030A0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numRef>
              <c:f>Charts!$S$82:$U$82</c:f>
              <c:numCache>
                <c:formatCode>General</c:formatCode>
                <c:ptCount val="3"/>
                <c:pt idx="0">
                  <c:v>24</c:v>
                </c:pt>
                <c:pt idx="1">
                  <c:v>46</c:v>
                </c:pt>
                <c:pt idx="2">
                  <c:v>100</c:v>
                </c:pt>
              </c:numCache>
            </c:numRef>
          </c:cat>
          <c:val>
            <c:numRef>
              <c:f>Charts!$S$88:$U$88</c:f>
              <c:numCache>
                <c:formatCode>General</c:formatCode>
                <c:ptCount val="3"/>
                <c:pt idx="0">
                  <c:v>1.0976235531019101</c:v>
                </c:pt>
                <c:pt idx="1">
                  <c:v>1.2348314472258355</c:v>
                </c:pt>
                <c:pt idx="2">
                  <c:v>1.7412484553309548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182-4581-B2A2-F190A8337FC1}"/>
            </c:ext>
          </c:extLst>
        </c:ser>
        <c:ser>
          <c:idx val="6"/>
          <c:order val="6"/>
          <c:tx>
            <c:strRef>
              <c:f>Charts!$R$89</c:f>
              <c:strCache>
                <c:ptCount val="1"/>
                <c:pt idx="0">
                  <c:v>MOPSO</c:v>
                </c:pt>
              </c:strCache>
            </c:strRef>
          </c:tx>
          <c:spPr>
            <a:pattFill prst="openDmnd">
              <a:fgClr>
                <a:schemeClr val="tx1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numRef>
              <c:f>Charts!$S$82:$U$82</c:f>
              <c:numCache>
                <c:formatCode>General</c:formatCode>
                <c:ptCount val="3"/>
                <c:pt idx="0">
                  <c:v>24</c:v>
                </c:pt>
                <c:pt idx="1">
                  <c:v>46</c:v>
                </c:pt>
                <c:pt idx="2">
                  <c:v>100</c:v>
                </c:pt>
              </c:numCache>
            </c:numRef>
          </c:cat>
          <c:val>
            <c:numRef>
              <c:f>Charts!$S$89:$U$89</c:f>
              <c:numCache>
                <c:formatCode>General</c:formatCode>
                <c:ptCount val="3"/>
                <c:pt idx="0">
                  <c:v>1.0482117167944269</c:v>
                </c:pt>
                <c:pt idx="1">
                  <c:v>1.1963661017644036</c:v>
                </c:pt>
                <c:pt idx="2">
                  <c:v>1.775790399564473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182-4581-B2A2-F190A8337FC1}"/>
            </c:ext>
          </c:extLst>
        </c:ser>
        <c:ser>
          <c:idx val="7"/>
          <c:order val="7"/>
          <c:tx>
            <c:strRef>
              <c:f>Charts!$R$90</c:f>
              <c:strCache>
                <c:ptCount val="1"/>
                <c:pt idx="0">
                  <c:v>RL</c:v>
                </c:pt>
              </c:strCache>
            </c:strRef>
          </c:tx>
          <c:spPr>
            <a:pattFill prst="dkHorz">
              <a:fgClr>
                <a:schemeClr val="accent2">
                  <a:lumMod val="75000"/>
                </a:schemeClr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numRef>
              <c:f>Charts!$S$82:$U$82</c:f>
              <c:numCache>
                <c:formatCode>General</c:formatCode>
                <c:ptCount val="3"/>
                <c:pt idx="0">
                  <c:v>24</c:v>
                </c:pt>
                <c:pt idx="1">
                  <c:v>46</c:v>
                </c:pt>
                <c:pt idx="2">
                  <c:v>100</c:v>
                </c:pt>
              </c:numCache>
            </c:numRef>
          </c:cat>
          <c:val>
            <c:numRef>
              <c:f>Charts!$S$90:$U$90</c:f>
              <c:numCache>
                <c:formatCode>General</c:formatCode>
                <c:ptCount val="3"/>
                <c:pt idx="0">
                  <c:v>1.0295001456830593</c:v>
                </c:pt>
                <c:pt idx="1">
                  <c:v>1.1291455791598224</c:v>
                </c:pt>
                <c:pt idx="2">
                  <c:v>1.7808951382732219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D182-4581-B2A2-F190A8337F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527954415"/>
        <c:axId val="1527962095"/>
      </c:barChart>
      <c:catAx>
        <c:axId val="152795441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4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40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Epigenomics</a:t>
                </a:r>
                <a:r>
                  <a:rPr lang="en-US" sz="4000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Loads</a:t>
                </a:r>
                <a:endParaRPr lang="en-US" sz="4000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0.39894481913380175"/>
              <c:y val="0.8487165370294493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4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40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27962095"/>
        <c:crosses val="autoZero"/>
        <c:auto val="1"/>
        <c:lblAlgn val="ctr"/>
        <c:lblOffset val="100"/>
        <c:noMultiLvlLbl val="0"/>
      </c:catAx>
      <c:valAx>
        <c:axId val="1527962095"/>
        <c:scaling>
          <c:orientation val="minMax"/>
          <c:max val="2"/>
          <c:min val="0.6000000000000000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40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400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Norm. Makespan </a:t>
                </a:r>
              </a:p>
            </c:rich>
          </c:tx>
          <c:layout>
            <c:manualLayout>
              <c:xMode val="edge"/>
              <c:yMode val="edge"/>
              <c:x val="6.8544502068875759E-4"/>
              <c:y val="8.0993053327031106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40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0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40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27954415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" l="0" r="0" t="0" header="0" footer="0"/>
    <c:pageSetup orientation="portrait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304800</xdr:colOff>
      <xdr:row>0</xdr:row>
      <xdr:rowOff>174171</xdr:rowOff>
    </xdr:from>
    <xdr:to>
      <xdr:col>15</xdr:col>
      <xdr:colOff>11984</xdr:colOff>
      <xdr:row>31</xdr:row>
      <xdr:rowOff>130629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EFF1479-8FDA-4564-869A-D9F0FFDBD4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326572</xdr:colOff>
      <xdr:row>32</xdr:row>
      <xdr:rowOff>43543</xdr:rowOff>
    </xdr:from>
    <xdr:to>
      <xdr:col>15</xdr:col>
      <xdr:colOff>33756</xdr:colOff>
      <xdr:row>63</xdr:row>
      <xdr:rowOff>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B910EAD-AA4C-4232-B178-56AFF16013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359228</xdr:colOff>
      <xdr:row>63</xdr:row>
      <xdr:rowOff>97971</xdr:rowOff>
    </xdr:from>
    <xdr:to>
      <xdr:col>15</xdr:col>
      <xdr:colOff>66412</xdr:colOff>
      <xdr:row>94</xdr:row>
      <xdr:rowOff>54429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1EBB715-4E04-4C86-9E15-FB809F9FE9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9C444-AE2C-4E91-9DDC-749A672AF9E9}">
  <dimension ref="R2:U90"/>
  <sheetViews>
    <sheetView tabSelected="1" topLeftCell="A32" zoomScale="85" zoomScaleNormal="85" workbookViewId="0">
      <selection activeCell="Q45" sqref="Q45"/>
    </sheetView>
  </sheetViews>
  <sheetFormatPr defaultRowHeight="15" x14ac:dyDescent="0.25"/>
  <cols>
    <col min="19" max="19" width="12.28515625" bestFit="1" customWidth="1"/>
  </cols>
  <sheetData>
    <row r="2" spans="18:21" x14ac:dyDescent="0.25">
      <c r="R2" t="s">
        <v>22</v>
      </c>
      <c r="S2">
        <v>24</v>
      </c>
      <c r="T2">
        <v>46</v>
      </c>
      <c r="U2">
        <v>100</v>
      </c>
    </row>
    <row r="3" spans="18:21" x14ac:dyDescent="0.25">
      <c r="R3" s="5" t="s">
        <v>6</v>
      </c>
      <c r="S3">
        <f>'Data Age'!B41</f>
        <v>639857.1</v>
      </c>
      <c r="T3">
        <f>'Data Age'!C41</f>
        <v>768818.2583333333</v>
      </c>
      <c r="U3">
        <f>'Data Age'!D41</f>
        <v>3848922.1490000002</v>
      </c>
    </row>
    <row r="4" spans="18:21" x14ac:dyDescent="0.25">
      <c r="R4" s="5" t="s">
        <v>7</v>
      </c>
      <c r="S4">
        <f>'Data Age'!B42</f>
        <v>615767.76666666672</v>
      </c>
      <c r="T4">
        <f>'Data Age'!C42</f>
        <v>750365.35729166667</v>
      </c>
      <c r="U4">
        <f>'Data Age'!D42</f>
        <v>3792234.6274999999</v>
      </c>
    </row>
    <row r="5" spans="18:21" x14ac:dyDescent="0.25">
      <c r="R5" s="1" t="s">
        <v>8</v>
      </c>
      <c r="S5">
        <f>'Data Age'!B43</f>
        <v>626377.34375</v>
      </c>
      <c r="T5">
        <f>'Data Age'!C43</f>
        <v>774535.51249999995</v>
      </c>
      <c r="U5">
        <f>'Data Age'!D43</f>
        <v>4998735.2474999996</v>
      </c>
    </row>
    <row r="6" spans="18:21" x14ac:dyDescent="0.25">
      <c r="R6" s="5" t="s">
        <v>9</v>
      </c>
      <c r="S6">
        <f>'Data Age'!B44</f>
        <v>712636.44791666663</v>
      </c>
      <c r="T6">
        <f>'Data Age'!C44</f>
        <v>919176.015625</v>
      </c>
      <c r="U6">
        <f>'Data Age'!D44</f>
        <v>5250428.3940000003</v>
      </c>
    </row>
    <row r="7" spans="18:21" x14ac:dyDescent="0.25">
      <c r="R7" s="5" t="s">
        <v>10</v>
      </c>
      <c r="S7">
        <f>'Data Age'!B45</f>
        <v>638878.69374999998</v>
      </c>
      <c r="T7">
        <f>'Data Age'!C45</f>
        <v>872280.56874999998</v>
      </c>
      <c r="U7">
        <f>'Data Age'!D45</f>
        <v>4771681.6069999998</v>
      </c>
    </row>
    <row r="8" spans="18:21" x14ac:dyDescent="0.25">
      <c r="R8" s="5" t="s">
        <v>11</v>
      </c>
      <c r="S8">
        <f>'Data Age'!B46</f>
        <v>709712.05625000002</v>
      </c>
      <c r="T8">
        <f>'Data Age'!C46</f>
        <v>919541.4927083333</v>
      </c>
      <c r="U8">
        <f>'Data Age'!D46</f>
        <v>5183675.4555000002</v>
      </c>
    </row>
    <row r="9" spans="18:21" x14ac:dyDescent="0.25">
      <c r="R9" s="1" t="s">
        <v>12</v>
      </c>
      <c r="S9">
        <f>'Data Age'!B47</f>
        <v>684471</v>
      </c>
      <c r="T9">
        <f>'Data Age'!C47</f>
        <v>900515.6479166667</v>
      </c>
      <c r="U9">
        <f>'Data Age'!D47</f>
        <v>5117472.4469999997</v>
      </c>
    </row>
    <row r="10" spans="18:21" x14ac:dyDescent="0.25">
      <c r="R10" s="5" t="s">
        <v>13</v>
      </c>
      <c r="S10">
        <f>'Data Age'!B48</f>
        <v>687043.125</v>
      </c>
      <c r="T10">
        <f>'Data Age'!C48</f>
        <v>875190.2895833333</v>
      </c>
      <c r="U10">
        <f>'Data Age'!D48</f>
        <v>5008254.2659999998</v>
      </c>
    </row>
    <row r="17" spans="18:21" x14ac:dyDescent="0.25">
      <c r="R17" t="s">
        <v>22</v>
      </c>
      <c r="S17">
        <v>24</v>
      </c>
      <c r="T17">
        <v>46</v>
      </c>
      <c r="U17">
        <v>100</v>
      </c>
    </row>
    <row r="18" spans="18:21" x14ac:dyDescent="0.25">
      <c r="R18" s="5" t="s">
        <v>6</v>
      </c>
      <c r="S18">
        <f>S3/S3</f>
        <v>1</v>
      </c>
      <c r="T18">
        <f>T3/T3</f>
        <v>1</v>
      </c>
      <c r="U18">
        <f>U3/U3</f>
        <v>1</v>
      </c>
    </row>
    <row r="19" spans="18:21" x14ac:dyDescent="0.25">
      <c r="R19" s="5" t="s">
        <v>7</v>
      </c>
      <c r="S19">
        <f>S4/S3</f>
        <v>0.96235201057652831</v>
      </c>
      <c r="T19">
        <f>T4/T3</f>
        <v>0.97599835742497931</v>
      </c>
      <c r="U19">
        <f>U4/U3</f>
        <v>0.98527184512819299</v>
      </c>
    </row>
    <row r="20" spans="18:21" x14ac:dyDescent="0.25">
      <c r="R20" s="1" t="s">
        <v>8</v>
      </c>
      <c r="S20">
        <f>S5/S3</f>
        <v>0.97893317703280935</v>
      </c>
      <c r="T20">
        <f>T5/T3</f>
        <v>1.00743641830133</v>
      </c>
      <c r="U20">
        <f>U5/U3</f>
        <v>1.298736387484152</v>
      </c>
    </row>
    <row r="21" spans="18:21" x14ac:dyDescent="0.25">
      <c r="R21" s="5" t="s">
        <v>9</v>
      </c>
      <c r="S21">
        <f>S6/S3</f>
        <v>1.1137431278275518</v>
      </c>
      <c r="T21">
        <f>T6/T3</f>
        <v>1.1955699616416715</v>
      </c>
      <c r="U21">
        <f>U6/U3</f>
        <v>1.3641295382823291</v>
      </c>
    </row>
    <row r="22" spans="18:21" x14ac:dyDescent="0.25">
      <c r="R22" s="5" t="s">
        <v>10</v>
      </c>
      <c r="S22">
        <f>S7/S3</f>
        <v>0.99847089881475093</v>
      </c>
      <c r="T22">
        <f>T7/T3</f>
        <v>1.1345731703106989</v>
      </c>
      <c r="U22">
        <f>U7/U3</f>
        <v>1.2397449005924281</v>
      </c>
    </row>
    <row r="23" spans="18:21" x14ac:dyDescent="0.25">
      <c r="R23" s="5" t="s">
        <v>11</v>
      </c>
      <c r="S23">
        <f>S8/S3</f>
        <v>1.1091727453676767</v>
      </c>
      <c r="T23">
        <f>T8/T3</f>
        <v>1.1960453367766555</v>
      </c>
      <c r="U23">
        <f>U8/U3</f>
        <v>1.3467862572504321</v>
      </c>
    </row>
    <row r="24" spans="18:21" x14ac:dyDescent="0.25">
      <c r="R24" s="1" t="s">
        <v>12</v>
      </c>
      <c r="S24">
        <f>S9/S3</f>
        <v>1.0697247869875945</v>
      </c>
      <c r="T24">
        <f>T9/T3</f>
        <v>1.1712984676883595</v>
      </c>
      <c r="U24">
        <f>U9/U3</f>
        <v>1.3295858551801536</v>
      </c>
    </row>
    <row r="25" spans="18:21" x14ac:dyDescent="0.25">
      <c r="R25" s="5" t="s">
        <v>13</v>
      </c>
      <c r="S25">
        <f>S10/S3</f>
        <v>1.073744629855635</v>
      </c>
      <c r="T25">
        <f>T10/T3</f>
        <v>1.1383578369751473</v>
      </c>
      <c r="U25">
        <f>U10/U3</f>
        <v>1.3012095522122236</v>
      </c>
    </row>
    <row r="36" spans="18:21" x14ac:dyDescent="0.25">
      <c r="R36" t="s">
        <v>21</v>
      </c>
      <c r="S36">
        <v>24</v>
      </c>
      <c r="T36">
        <v>46</v>
      </c>
      <c r="U36">
        <v>100</v>
      </c>
    </row>
    <row r="37" spans="18:21" x14ac:dyDescent="0.25">
      <c r="R37" s="5" t="s">
        <v>6</v>
      </c>
      <c r="S37">
        <f>Energy!B41</f>
        <v>1463027414.75</v>
      </c>
      <c r="T37">
        <f>Energy!C41</f>
        <v>2132749140.125</v>
      </c>
      <c r="U37">
        <f>Energy!D41</f>
        <v>10376251323.66667</v>
      </c>
    </row>
    <row r="38" spans="18:21" x14ac:dyDescent="0.25">
      <c r="R38" s="5" t="s">
        <v>7</v>
      </c>
      <c r="S38">
        <f>Energy!B42</f>
        <v>1316005934.791667</v>
      </c>
      <c r="T38">
        <f>Energy!C42</f>
        <v>1917878371.416667</v>
      </c>
      <c r="U38">
        <f>Energy!D42</f>
        <v>9387201958.666666</v>
      </c>
    </row>
    <row r="39" spans="18:21" x14ac:dyDescent="0.25">
      <c r="R39" s="1" t="s">
        <v>8</v>
      </c>
      <c r="S39">
        <f>Energy!B43</f>
        <v>1451296667.833333</v>
      </c>
      <c r="T39">
        <f>Energy!C43</f>
        <v>2007404920.666667</v>
      </c>
      <c r="U39">
        <f>Energy!D43</f>
        <v>15662384109.16667</v>
      </c>
    </row>
    <row r="40" spans="18:21" x14ac:dyDescent="0.25">
      <c r="R40" s="5" t="s">
        <v>9</v>
      </c>
      <c r="S40">
        <f>Energy!B44</f>
        <v>1561975960.125</v>
      </c>
      <c r="T40">
        <f>Energy!C44</f>
        <v>2457801611.041667</v>
      </c>
      <c r="U40">
        <f>Energy!D44</f>
        <v>18416365985.416672</v>
      </c>
    </row>
    <row r="41" spans="18:21" x14ac:dyDescent="0.25">
      <c r="R41" s="5" t="s">
        <v>10</v>
      </c>
      <c r="S41">
        <f>Energy!B45</f>
        <v>1421213228.333333</v>
      </c>
      <c r="T41">
        <f>Energy!C45</f>
        <v>2239990391.708333</v>
      </c>
      <c r="U41">
        <f>Energy!D45</f>
        <v>15370578256.58333</v>
      </c>
    </row>
    <row r="42" spans="18:21" x14ac:dyDescent="0.25">
      <c r="R42" s="5" t="s">
        <v>11</v>
      </c>
      <c r="S42">
        <f>Energy!B46</f>
        <v>1540867472.041667</v>
      </c>
      <c r="T42">
        <f>Energy!C46</f>
        <v>2606285532.333333</v>
      </c>
      <c r="U42">
        <f>Energy!D46</f>
        <v>17619017265.95834</v>
      </c>
    </row>
    <row r="43" spans="18:21" x14ac:dyDescent="0.25">
      <c r="R43" s="1" t="s">
        <v>12</v>
      </c>
      <c r="S43">
        <f>Energy!B47</f>
        <v>1484225116.583333</v>
      </c>
      <c r="T43">
        <f>Energy!C47</f>
        <v>2537836925.375</v>
      </c>
      <c r="U43">
        <f>Energy!D47</f>
        <v>18017940581.958328</v>
      </c>
    </row>
    <row r="44" spans="18:21" x14ac:dyDescent="0.25">
      <c r="R44" s="5" t="s">
        <v>13</v>
      </c>
      <c r="S44">
        <f>Energy!B48</f>
        <v>1464728385.541667</v>
      </c>
      <c r="T44">
        <f>Energy!C48</f>
        <v>2395227424.625</v>
      </c>
      <c r="U44">
        <f>Energy!D48</f>
        <v>17795255116.416672</v>
      </c>
    </row>
    <row r="51" spans="18:21" x14ac:dyDescent="0.25">
      <c r="R51" t="s">
        <v>21</v>
      </c>
      <c r="S51">
        <v>24</v>
      </c>
      <c r="T51">
        <v>46</v>
      </c>
      <c r="U51">
        <v>100</v>
      </c>
    </row>
    <row r="52" spans="18:21" x14ac:dyDescent="0.25">
      <c r="R52" s="5" t="s">
        <v>6</v>
      </c>
      <c r="S52">
        <f>S37/S37</f>
        <v>1</v>
      </c>
      <c r="T52">
        <f>T37/T37</f>
        <v>1</v>
      </c>
      <c r="U52">
        <f>U37/U37</f>
        <v>1</v>
      </c>
    </row>
    <row r="53" spans="18:21" x14ac:dyDescent="0.25">
      <c r="R53" s="5" t="s">
        <v>7</v>
      </c>
      <c r="S53">
        <f>S38/S37</f>
        <v>0.89950873204692761</v>
      </c>
      <c r="T53">
        <f>T38/T37</f>
        <v>0.89925173820689508</v>
      </c>
      <c r="U53">
        <f>U38/U37</f>
        <v>0.90468143704806658</v>
      </c>
    </row>
    <row r="54" spans="18:21" x14ac:dyDescent="0.25">
      <c r="R54" s="1" t="s">
        <v>8</v>
      </c>
      <c r="S54">
        <f>S39/S37</f>
        <v>0.99198186800985444</v>
      </c>
      <c r="T54">
        <f>T39/T37</f>
        <v>0.94122880319108382</v>
      </c>
      <c r="U54">
        <f>U39/U37</f>
        <v>1.5094453305543136</v>
      </c>
    </row>
    <row r="55" spans="18:21" x14ac:dyDescent="0.25">
      <c r="R55" s="5" t="s">
        <v>9</v>
      </c>
      <c r="S55">
        <f>S40/S37</f>
        <v>1.0676327349558985</v>
      </c>
      <c r="T55">
        <f>T40/T37</f>
        <v>1.1524100818053153</v>
      </c>
      <c r="U55">
        <f>U40/U37</f>
        <v>1.7748573556050737</v>
      </c>
    </row>
    <row r="56" spans="18:21" x14ac:dyDescent="0.25">
      <c r="R56" s="5" t="s">
        <v>10</v>
      </c>
      <c r="S56">
        <f>S41/S37</f>
        <v>0.97141941019347744</v>
      </c>
      <c r="T56">
        <f>T41/T37</f>
        <v>1.050283106233979</v>
      </c>
      <c r="U56">
        <f>U41/U37</f>
        <v>1.4813228570828225</v>
      </c>
    </row>
    <row r="57" spans="18:21" x14ac:dyDescent="0.25">
      <c r="R57" s="5" t="s">
        <v>11</v>
      </c>
      <c r="S57">
        <f>S42/S37</f>
        <v>1.0532047837975533</v>
      </c>
      <c r="T57">
        <f>T42/T37</f>
        <v>1.2220309849383313</v>
      </c>
      <c r="U57">
        <f>U42/U37</f>
        <v>1.6980137350540083</v>
      </c>
    </row>
    <row r="58" spans="18:21" x14ac:dyDescent="0.25">
      <c r="R58" s="1" t="s">
        <v>12</v>
      </c>
      <c r="S58">
        <f>S43/S37</f>
        <v>1.0144889300225144</v>
      </c>
      <c r="T58">
        <f>T43/T37</f>
        <v>1.1899369117674374</v>
      </c>
      <c r="U58">
        <f>U43/U37</f>
        <v>1.7364595382209096</v>
      </c>
    </row>
    <row r="59" spans="18:21" x14ac:dyDescent="0.25">
      <c r="R59" s="5" t="s">
        <v>13</v>
      </c>
      <c r="S59">
        <f>S44/S37</f>
        <v>1.0011626376748091</v>
      </c>
      <c r="T59">
        <f>T44/T37</f>
        <v>1.1230703975267415</v>
      </c>
      <c r="U59">
        <f>U44/U37</f>
        <v>1.714998467300842</v>
      </c>
    </row>
    <row r="67" spans="18:21" x14ac:dyDescent="0.25">
      <c r="R67" t="s">
        <v>20</v>
      </c>
      <c r="S67">
        <v>24</v>
      </c>
      <c r="T67">
        <v>46</v>
      </c>
      <c r="U67">
        <v>100</v>
      </c>
    </row>
    <row r="68" spans="18:21" x14ac:dyDescent="0.25">
      <c r="R68" s="5" t="s">
        <v>6</v>
      </c>
      <c r="S68">
        <f>Makespan!B41</f>
        <v>5231562.3</v>
      </c>
      <c r="T68">
        <f>Makespan!C41</f>
        <v>7414984.75</v>
      </c>
      <c r="U68">
        <f>Makespan!D41</f>
        <v>33366653.949999999</v>
      </c>
    </row>
    <row r="69" spans="18:21" x14ac:dyDescent="0.25">
      <c r="R69" s="5" t="s">
        <v>7</v>
      </c>
      <c r="S69">
        <f>Makespan!B42</f>
        <v>4655559.95</v>
      </c>
      <c r="T69">
        <f>Makespan!C42</f>
        <v>6563186.7999999998</v>
      </c>
      <c r="U69">
        <f>Makespan!D42</f>
        <v>29550558.949999999</v>
      </c>
    </row>
    <row r="70" spans="18:21" x14ac:dyDescent="0.25">
      <c r="R70" s="1" t="s">
        <v>8</v>
      </c>
      <c r="S70">
        <f>Makespan!B43</f>
        <v>4902569.55</v>
      </c>
      <c r="T70">
        <f>Makespan!C43</f>
        <v>6453513.0999999996</v>
      </c>
      <c r="U70">
        <f>Makespan!D43</f>
        <v>47971008.75</v>
      </c>
    </row>
    <row r="71" spans="18:21" x14ac:dyDescent="0.25">
      <c r="R71" s="5" t="s">
        <v>9</v>
      </c>
      <c r="S71">
        <f>Makespan!B44</f>
        <v>5842911.0999999996</v>
      </c>
      <c r="T71">
        <f>Makespan!C44</f>
        <v>8726051.5</v>
      </c>
      <c r="U71">
        <f>Makespan!D44</f>
        <v>61195265.600000001</v>
      </c>
    </row>
    <row r="72" spans="18:21" x14ac:dyDescent="0.25">
      <c r="R72" s="5" t="s">
        <v>10</v>
      </c>
      <c r="S72">
        <f>Makespan!B45</f>
        <v>4877247.3</v>
      </c>
      <c r="T72">
        <f>Makespan!C45</f>
        <v>7456678.5</v>
      </c>
      <c r="U72">
        <f>Makespan!D45</f>
        <v>48977754</v>
      </c>
    </row>
    <row r="73" spans="18:21" x14ac:dyDescent="0.25">
      <c r="R73" s="5" t="s">
        <v>11</v>
      </c>
      <c r="S73">
        <f>Makespan!B46</f>
        <v>5742286</v>
      </c>
      <c r="T73">
        <f>Makespan!C46</f>
        <v>9156256.3499999996</v>
      </c>
      <c r="U73">
        <f>Makespan!D46</f>
        <v>58099634.649999999</v>
      </c>
    </row>
    <row r="74" spans="18:21" x14ac:dyDescent="0.25">
      <c r="R74" s="1" t="s">
        <v>12</v>
      </c>
      <c r="S74">
        <f>Makespan!B47</f>
        <v>5483784.9000000004</v>
      </c>
      <c r="T74">
        <f>Makespan!C47</f>
        <v>8871036.4000000004</v>
      </c>
      <c r="U74">
        <f>Makespan!D47</f>
        <v>59252183.75</v>
      </c>
    </row>
    <row r="75" spans="18:21" x14ac:dyDescent="0.25">
      <c r="R75" s="5" t="s">
        <v>13</v>
      </c>
      <c r="S75">
        <f>Makespan!B48</f>
        <v>5385894.1500000004</v>
      </c>
      <c r="T75">
        <f>Makespan!C48</f>
        <v>8372597.25</v>
      </c>
      <c r="U75">
        <f>Makespan!D48</f>
        <v>59422511.799999997</v>
      </c>
    </row>
    <row r="82" spans="18:21" x14ac:dyDescent="0.25">
      <c r="R82" t="s">
        <v>20</v>
      </c>
      <c r="S82">
        <v>24</v>
      </c>
      <c r="T82">
        <v>46</v>
      </c>
      <c r="U82">
        <v>100</v>
      </c>
    </row>
    <row r="83" spans="18:21" x14ac:dyDescent="0.25">
      <c r="R83" s="5" t="s">
        <v>6</v>
      </c>
      <c r="S83">
        <f>S68/S68</f>
        <v>1</v>
      </c>
      <c r="T83">
        <f>T68/T68</f>
        <v>1</v>
      </c>
      <c r="U83">
        <f>U68/U68</f>
        <v>1</v>
      </c>
    </row>
    <row r="84" spans="18:21" x14ac:dyDescent="0.25">
      <c r="R84" s="5" t="s">
        <v>7</v>
      </c>
      <c r="S84">
        <f>S69/S68</f>
        <v>0.8898985968302433</v>
      </c>
      <c r="T84">
        <f>T69/T68</f>
        <v>0.88512478734362865</v>
      </c>
      <c r="U84">
        <f>U69/U68</f>
        <v>0.88563147489351413</v>
      </c>
    </row>
    <row r="85" spans="18:21" x14ac:dyDescent="0.25">
      <c r="R85" s="1" t="s">
        <v>8</v>
      </c>
      <c r="S85">
        <f>S70/S68</f>
        <v>0.93711386176171507</v>
      </c>
      <c r="T85">
        <f>T70/T68</f>
        <v>0.8703339679828741</v>
      </c>
      <c r="U85">
        <f>U70/U68</f>
        <v>1.4376931178620624</v>
      </c>
    </row>
    <row r="86" spans="18:21" x14ac:dyDescent="0.25">
      <c r="R86" s="5" t="s">
        <v>9</v>
      </c>
      <c r="S86">
        <f>S71/S68</f>
        <v>1.1168577883512922</v>
      </c>
      <c r="T86">
        <f>T71/T68</f>
        <v>1.1768131417937171</v>
      </c>
      <c r="U86">
        <f>U71/U68</f>
        <v>1.8340246430373641</v>
      </c>
    </row>
    <row r="87" spans="18:21" x14ac:dyDescent="0.25">
      <c r="R87" s="5" t="s">
        <v>10</v>
      </c>
      <c r="S87">
        <f>S72/S68</f>
        <v>0.93227357724479354</v>
      </c>
      <c r="T87">
        <f>T72/T68</f>
        <v>1.0056229043491964</v>
      </c>
      <c r="U87">
        <f>U72/U68</f>
        <v>1.4678653146759417</v>
      </c>
    </row>
    <row r="88" spans="18:21" x14ac:dyDescent="0.25">
      <c r="R88" s="5" t="s">
        <v>11</v>
      </c>
      <c r="S88">
        <f>S73/S68</f>
        <v>1.0976235531019101</v>
      </c>
      <c r="T88">
        <f>T73/T68</f>
        <v>1.2348314472258355</v>
      </c>
      <c r="U88">
        <f>U73/U68</f>
        <v>1.7412484553309548</v>
      </c>
    </row>
    <row r="89" spans="18:21" x14ac:dyDescent="0.25">
      <c r="R89" s="1" t="s">
        <v>12</v>
      </c>
      <c r="S89">
        <f>S74/S68</f>
        <v>1.0482117167944269</v>
      </c>
      <c r="T89">
        <f>T74/T68</f>
        <v>1.1963661017644036</v>
      </c>
      <c r="U89">
        <f>U74/U68</f>
        <v>1.775790399564473</v>
      </c>
    </row>
    <row r="90" spans="18:21" x14ac:dyDescent="0.25">
      <c r="R90" s="5" t="s">
        <v>13</v>
      </c>
      <c r="S90">
        <f>S75/S68</f>
        <v>1.0295001456830593</v>
      </c>
      <c r="T90">
        <f>T75/T68</f>
        <v>1.1291455791598224</v>
      </c>
      <c r="U90">
        <f>U75/U68</f>
        <v>1.7808951382732219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I60"/>
  <sheetViews>
    <sheetView zoomScaleNormal="100" workbookViewId="0"/>
  </sheetViews>
  <sheetFormatPr defaultColWidth="8.5703125" defaultRowHeight="15" x14ac:dyDescent="0.25"/>
  <cols>
    <col min="1" max="1" width="24" customWidth="1"/>
    <col min="2" max="2" width="19" customWidth="1"/>
    <col min="3" max="3" width="20" customWidth="1"/>
    <col min="4" max="4" width="19" customWidth="1"/>
    <col min="5" max="6" width="20" customWidth="1"/>
    <col min="7" max="21" width="19" customWidth="1"/>
    <col min="22" max="22" width="20" customWidth="1"/>
    <col min="23" max="24" width="19" customWidth="1"/>
    <col min="25" max="25" width="20" customWidth="1"/>
    <col min="26" max="29" width="19" customWidth="1"/>
    <col min="30" max="30" width="20" customWidth="1"/>
    <col min="31" max="32" width="19" customWidth="1"/>
    <col min="33" max="33" width="20" customWidth="1"/>
    <col min="34" max="34" width="19" customWidth="1"/>
    <col min="35" max="35" width="20" customWidth="1"/>
    <col min="36" max="38" width="19" customWidth="1"/>
    <col min="39" max="39" width="20" customWidth="1"/>
    <col min="40" max="40" width="19" customWidth="1"/>
    <col min="41" max="41" width="20" customWidth="1"/>
    <col min="42" max="61" width="12" customWidth="1"/>
  </cols>
  <sheetData>
    <row r="1" spans="1:6" ht="15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 t="s">
        <v>6</v>
      </c>
      <c r="B2">
        <v>1</v>
      </c>
      <c r="C2">
        <v>639857.1</v>
      </c>
      <c r="D2">
        <v>639447.20833333337</v>
      </c>
      <c r="E2">
        <v>640711.41666666663</v>
      </c>
      <c r="F2">
        <v>439.42018188743953</v>
      </c>
    </row>
    <row r="3" spans="1:6" x14ac:dyDescent="0.25">
      <c r="A3" t="s">
        <v>6</v>
      </c>
      <c r="B3">
        <v>2</v>
      </c>
      <c r="C3">
        <v>768818.2583333333</v>
      </c>
      <c r="D3">
        <v>751326.08333333337</v>
      </c>
      <c r="E3">
        <v>790648.08333333337</v>
      </c>
      <c r="F3">
        <v>8826.4949000735523</v>
      </c>
    </row>
    <row r="4" spans="1:6" x14ac:dyDescent="0.25">
      <c r="A4" t="s">
        <v>6</v>
      </c>
      <c r="B4">
        <v>3</v>
      </c>
      <c r="C4">
        <v>3848922.1490000002</v>
      </c>
      <c r="D4">
        <v>3703907.04</v>
      </c>
      <c r="E4">
        <v>3940219.59</v>
      </c>
      <c r="F4">
        <v>57673.176865994887</v>
      </c>
    </row>
    <row r="5" spans="1:6" x14ac:dyDescent="0.25">
      <c r="A5" t="s">
        <v>7</v>
      </c>
      <c r="B5">
        <v>1</v>
      </c>
      <c r="C5">
        <v>615767.76666666672</v>
      </c>
      <c r="D5">
        <v>615532.25</v>
      </c>
      <c r="E5">
        <v>616520.83333333337</v>
      </c>
      <c r="F5">
        <v>223.54043778786709</v>
      </c>
    </row>
    <row r="6" spans="1:6" x14ac:dyDescent="0.25">
      <c r="A6" t="s">
        <v>7</v>
      </c>
      <c r="B6">
        <v>2</v>
      </c>
      <c r="C6">
        <v>750365.35729166667</v>
      </c>
      <c r="D6">
        <v>720524.1875</v>
      </c>
      <c r="E6">
        <v>767062.79166666663</v>
      </c>
      <c r="F6">
        <v>10792.68829363322</v>
      </c>
    </row>
    <row r="7" spans="1:6" x14ac:dyDescent="0.25">
      <c r="A7" t="s">
        <v>7</v>
      </c>
      <c r="B7">
        <v>3</v>
      </c>
      <c r="C7">
        <v>3792234.6274999999</v>
      </c>
      <c r="D7">
        <v>3658681.34</v>
      </c>
      <c r="E7">
        <v>3901070.22</v>
      </c>
      <c r="F7">
        <v>70871.047661195451</v>
      </c>
    </row>
    <row r="8" spans="1:6" x14ac:dyDescent="0.25">
      <c r="A8" t="s">
        <v>8</v>
      </c>
      <c r="B8">
        <v>1</v>
      </c>
      <c r="C8">
        <v>626377.34375</v>
      </c>
      <c r="D8">
        <v>626375.66666666663</v>
      </c>
      <c r="E8">
        <v>626379.95833333337</v>
      </c>
      <c r="F8">
        <v>0.98846427955190319</v>
      </c>
    </row>
    <row r="9" spans="1:6" x14ac:dyDescent="0.25">
      <c r="A9" t="s">
        <v>8</v>
      </c>
      <c r="B9">
        <v>2</v>
      </c>
      <c r="C9">
        <v>774535.51249999995</v>
      </c>
      <c r="D9">
        <v>774532.66666666663</v>
      </c>
      <c r="E9">
        <v>774540.54166666663</v>
      </c>
      <c r="F9">
        <v>1.7916957361969079</v>
      </c>
    </row>
    <row r="10" spans="1:6" x14ac:dyDescent="0.25">
      <c r="A10" t="s">
        <v>8</v>
      </c>
      <c r="B10">
        <v>3</v>
      </c>
      <c r="C10">
        <v>4998735.2474999996</v>
      </c>
      <c r="D10">
        <v>4998733.2300000004</v>
      </c>
      <c r="E10">
        <v>4998736.82</v>
      </c>
      <c r="F10">
        <v>1.034624932055539</v>
      </c>
    </row>
    <row r="11" spans="1:6" x14ac:dyDescent="0.25">
      <c r="A11" t="s">
        <v>9</v>
      </c>
      <c r="B11">
        <v>1</v>
      </c>
      <c r="C11">
        <v>712636.44791666663</v>
      </c>
      <c r="D11">
        <v>641288.83333333337</v>
      </c>
      <c r="E11">
        <v>800541.41666666663</v>
      </c>
      <c r="F11">
        <v>47090.356671691967</v>
      </c>
    </row>
    <row r="12" spans="1:6" ht="15" customHeight="1" x14ac:dyDescent="0.25">
      <c r="A12" s="1" t="s">
        <v>9</v>
      </c>
      <c r="B12">
        <v>2</v>
      </c>
      <c r="C12">
        <v>919176.015625</v>
      </c>
      <c r="D12">
        <v>767662.39583333337</v>
      </c>
      <c r="E12">
        <v>1298497.895833333</v>
      </c>
      <c r="F12">
        <v>119149.0017791581</v>
      </c>
    </row>
    <row r="13" spans="1:6" x14ac:dyDescent="0.25">
      <c r="A13" t="s">
        <v>9</v>
      </c>
      <c r="B13">
        <v>3</v>
      </c>
      <c r="C13">
        <v>5250428.3940000003</v>
      </c>
      <c r="D13">
        <v>3975495.87</v>
      </c>
      <c r="E13">
        <v>7332082.0999999996</v>
      </c>
      <c r="F13">
        <v>895506.7727311987</v>
      </c>
    </row>
    <row r="14" spans="1:6" x14ac:dyDescent="0.25">
      <c r="A14" t="s">
        <v>10</v>
      </c>
      <c r="B14">
        <v>1</v>
      </c>
      <c r="C14">
        <v>638878.69374999998</v>
      </c>
      <c r="D14">
        <v>616126.5</v>
      </c>
      <c r="E14">
        <v>667445.66666666663</v>
      </c>
      <c r="F14">
        <v>13263.89763133473</v>
      </c>
    </row>
    <row r="15" spans="1:6" x14ac:dyDescent="0.25">
      <c r="A15" t="s">
        <v>10</v>
      </c>
      <c r="B15">
        <v>2</v>
      </c>
      <c r="C15">
        <v>872280.56874999998</v>
      </c>
      <c r="D15">
        <v>785111.04166666663</v>
      </c>
      <c r="E15">
        <v>945197.70833333337</v>
      </c>
      <c r="F15">
        <v>45100.729084743623</v>
      </c>
    </row>
    <row r="16" spans="1:6" x14ac:dyDescent="0.25">
      <c r="A16" t="s">
        <v>10</v>
      </c>
      <c r="B16">
        <v>3</v>
      </c>
      <c r="C16">
        <v>4771681.6069999998</v>
      </c>
      <c r="D16">
        <v>4509044.47</v>
      </c>
      <c r="E16">
        <v>5286736.6100000003</v>
      </c>
      <c r="F16">
        <v>233350.56283031069</v>
      </c>
    </row>
    <row r="17" spans="1:6" x14ac:dyDescent="0.25">
      <c r="A17" t="s">
        <v>11</v>
      </c>
      <c r="B17">
        <v>1</v>
      </c>
      <c r="C17">
        <v>709712.05625000002</v>
      </c>
      <c r="D17">
        <v>645733</v>
      </c>
      <c r="E17">
        <v>932816</v>
      </c>
      <c r="F17">
        <v>62045.588508776309</v>
      </c>
    </row>
    <row r="18" spans="1:6" x14ac:dyDescent="0.25">
      <c r="A18" t="s">
        <v>11</v>
      </c>
      <c r="B18">
        <v>2</v>
      </c>
      <c r="C18">
        <v>919541.4927083333</v>
      </c>
      <c r="D18">
        <v>767067.4375</v>
      </c>
      <c r="E18">
        <v>1098804.375</v>
      </c>
      <c r="F18">
        <v>99341.08622276051</v>
      </c>
    </row>
    <row r="19" spans="1:6" x14ac:dyDescent="0.25">
      <c r="A19" t="s">
        <v>11</v>
      </c>
      <c r="B19">
        <v>3</v>
      </c>
      <c r="C19">
        <v>5183675.4555000002</v>
      </c>
      <c r="D19">
        <v>4067963.19</v>
      </c>
      <c r="E19">
        <v>6868207.6100000003</v>
      </c>
      <c r="F19">
        <v>703480.58006122429</v>
      </c>
    </row>
    <row r="20" spans="1:6" ht="15" customHeight="1" x14ac:dyDescent="0.25">
      <c r="A20" s="1" t="s">
        <v>12</v>
      </c>
      <c r="B20">
        <v>1</v>
      </c>
      <c r="C20">
        <v>684471</v>
      </c>
      <c r="D20">
        <v>616691.04166666663</v>
      </c>
      <c r="E20">
        <v>764331.5</v>
      </c>
      <c r="F20">
        <v>32755.530611932871</v>
      </c>
    </row>
    <row r="21" spans="1:6" x14ac:dyDescent="0.25">
      <c r="A21" t="s">
        <v>12</v>
      </c>
      <c r="B21">
        <v>2</v>
      </c>
      <c r="C21">
        <v>900515.6479166667</v>
      </c>
      <c r="D21">
        <v>805789.45833333337</v>
      </c>
      <c r="E21">
        <v>1052355.270833333</v>
      </c>
      <c r="F21">
        <v>76051.53373123669</v>
      </c>
    </row>
    <row r="22" spans="1:6" x14ac:dyDescent="0.25">
      <c r="A22" t="s">
        <v>12</v>
      </c>
      <c r="B22">
        <v>3</v>
      </c>
      <c r="C22">
        <v>5117472.4469999997</v>
      </c>
      <c r="D22">
        <v>4817594.78</v>
      </c>
      <c r="E22">
        <v>5479704.5</v>
      </c>
      <c r="F22">
        <v>201008.3767570394</v>
      </c>
    </row>
    <row r="23" spans="1:6" ht="15" customHeight="1" x14ac:dyDescent="0.25">
      <c r="A23" s="1" t="s">
        <v>13</v>
      </c>
      <c r="B23">
        <v>1</v>
      </c>
      <c r="C23">
        <v>687043.125</v>
      </c>
      <c r="D23">
        <v>645493.20833333337</v>
      </c>
      <c r="E23">
        <v>827496.54166666663</v>
      </c>
      <c r="F23">
        <v>42520.019430580112</v>
      </c>
    </row>
    <row r="24" spans="1:6" x14ac:dyDescent="0.25">
      <c r="A24" t="s">
        <v>13</v>
      </c>
      <c r="B24">
        <v>2</v>
      </c>
      <c r="C24">
        <v>875190.2895833333</v>
      </c>
      <c r="D24">
        <v>776207.5625</v>
      </c>
      <c r="E24">
        <v>1026273.458333333</v>
      </c>
      <c r="F24">
        <v>65362.828804057841</v>
      </c>
    </row>
    <row r="25" spans="1:6" x14ac:dyDescent="0.25">
      <c r="A25" t="s">
        <v>13</v>
      </c>
      <c r="B25">
        <v>3</v>
      </c>
      <c r="C25">
        <v>5008254.2659999998</v>
      </c>
      <c r="D25">
        <v>3874822.81</v>
      </c>
      <c r="E25">
        <v>6602712.4100000001</v>
      </c>
      <c r="F25">
        <v>759603.79114101105</v>
      </c>
    </row>
    <row r="28" spans="1:6" ht="15" customHeight="1" x14ac:dyDescent="0.25">
      <c r="A28" s="4" t="s">
        <v>14</v>
      </c>
    </row>
    <row r="29" spans="1:6" x14ac:dyDescent="0.25">
      <c r="A29" t="s">
        <v>6</v>
      </c>
      <c r="C29">
        <v>1752532.502444444</v>
      </c>
      <c r="D29">
        <v>639447.20833333337</v>
      </c>
      <c r="E29">
        <v>3940219.59</v>
      </c>
      <c r="F29">
        <v>1483688.434374443</v>
      </c>
    </row>
    <row r="30" spans="1:6" x14ac:dyDescent="0.25">
      <c r="A30" t="s">
        <v>7</v>
      </c>
      <c r="C30">
        <v>1719455.917152778</v>
      </c>
      <c r="D30">
        <v>615532.25</v>
      </c>
      <c r="E30">
        <v>3901070.22</v>
      </c>
      <c r="F30">
        <v>1467289.4359204881</v>
      </c>
    </row>
    <row r="31" spans="1:6" ht="15" customHeight="1" x14ac:dyDescent="0.25">
      <c r="A31" s="1" t="s">
        <v>8</v>
      </c>
      <c r="C31">
        <v>2133216.0345833329</v>
      </c>
      <c r="D31">
        <v>626375.66666666663</v>
      </c>
      <c r="E31">
        <v>4998736.82</v>
      </c>
      <c r="F31">
        <v>2027130.645426417</v>
      </c>
    </row>
    <row r="32" spans="1:6" x14ac:dyDescent="0.25">
      <c r="A32" t="s">
        <v>9</v>
      </c>
      <c r="C32">
        <v>2294080.285847222</v>
      </c>
      <c r="D32">
        <v>641288.83333333337</v>
      </c>
      <c r="E32">
        <v>7332082.0999999996</v>
      </c>
      <c r="F32">
        <v>2156360.117397387</v>
      </c>
    </row>
    <row r="33" spans="1:6" x14ac:dyDescent="0.25">
      <c r="A33" t="s">
        <v>10</v>
      </c>
      <c r="C33">
        <v>2094280.2898333331</v>
      </c>
      <c r="D33">
        <v>616126.5</v>
      </c>
      <c r="E33">
        <v>5286736.6100000003</v>
      </c>
      <c r="F33">
        <v>1900580.3876090969</v>
      </c>
    </row>
    <row r="34" spans="1:6" x14ac:dyDescent="0.25">
      <c r="A34" t="s">
        <v>11</v>
      </c>
      <c r="C34">
        <v>2270976.334819444</v>
      </c>
      <c r="D34">
        <v>645733</v>
      </c>
      <c r="E34">
        <v>6868207.6100000003</v>
      </c>
      <c r="F34">
        <v>2102089.569976402</v>
      </c>
    </row>
    <row r="35" spans="1:6" ht="15" customHeight="1" x14ac:dyDescent="0.25">
      <c r="A35" s="1" t="s">
        <v>12</v>
      </c>
      <c r="C35">
        <v>2234153.0316388891</v>
      </c>
      <c r="D35">
        <v>616691.04166666663</v>
      </c>
      <c r="E35">
        <v>5479704.5</v>
      </c>
      <c r="F35">
        <v>2044577.7925641329</v>
      </c>
    </row>
    <row r="36" spans="1:6" ht="15" customHeight="1" x14ac:dyDescent="0.25">
      <c r="A36" s="1" t="s">
        <v>13</v>
      </c>
      <c r="C36">
        <v>2190162.5601944439</v>
      </c>
      <c r="D36">
        <v>645493.20833333337</v>
      </c>
      <c r="E36">
        <v>6602712.4100000001</v>
      </c>
      <c r="F36">
        <v>2042322.13768404</v>
      </c>
    </row>
    <row r="39" spans="1:6" ht="15" customHeight="1" x14ac:dyDescent="0.25">
      <c r="A39" s="4" t="s">
        <v>15</v>
      </c>
    </row>
    <row r="40" spans="1:6" x14ac:dyDescent="0.25">
      <c r="A40" t="s">
        <v>16</v>
      </c>
      <c r="B40">
        <v>1</v>
      </c>
      <c r="C40">
        <v>2</v>
      </c>
      <c r="D40">
        <v>3</v>
      </c>
    </row>
    <row r="41" spans="1:6" x14ac:dyDescent="0.25">
      <c r="A41" t="s">
        <v>6</v>
      </c>
      <c r="B41">
        <v>639857.1</v>
      </c>
      <c r="C41">
        <v>768818.2583333333</v>
      </c>
      <c r="D41">
        <v>3848922.1490000002</v>
      </c>
    </row>
    <row r="42" spans="1:6" x14ac:dyDescent="0.25">
      <c r="A42" t="s">
        <v>7</v>
      </c>
      <c r="B42">
        <v>615767.76666666672</v>
      </c>
      <c r="C42">
        <v>750365.35729166667</v>
      </c>
      <c r="D42">
        <v>3792234.6274999999</v>
      </c>
    </row>
    <row r="43" spans="1:6" ht="15" customHeight="1" x14ac:dyDescent="0.25">
      <c r="A43" s="1" t="s">
        <v>8</v>
      </c>
      <c r="B43">
        <v>626377.34375</v>
      </c>
      <c r="C43">
        <v>774535.51249999995</v>
      </c>
      <c r="D43">
        <v>4998735.2474999996</v>
      </c>
    </row>
    <row r="44" spans="1:6" x14ac:dyDescent="0.25">
      <c r="A44" t="s">
        <v>9</v>
      </c>
      <c r="B44">
        <v>712636.44791666663</v>
      </c>
      <c r="C44">
        <v>919176.015625</v>
      </c>
      <c r="D44">
        <v>5250428.3940000003</v>
      </c>
    </row>
    <row r="45" spans="1:6" x14ac:dyDescent="0.25">
      <c r="A45" t="s">
        <v>10</v>
      </c>
      <c r="B45">
        <v>638878.69374999998</v>
      </c>
      <c r="C45">
        <v>872280.56874999998</v>
      </c>
      <c r="D45">
        <v>4771681.6069999998</v>
      </c>
    </row>
    <row r="46" spans="1:6" x14ac:dyDescent="0.25">
      <c r="A46" t="s">
        <v>11</v>
      </c>
      <c r="B46">
        <v>709712.05625000002</v>
      </c>
      <c r="C46">
        <v>919541.4927083333</v>
      </c>
      <c r="D46">
        <v>5183675.4555000002</v>
      </c>
    </row>
    <row r="47" spans="1:6" ht="15" customHeight="1" x14ac:dyDescent="0.25">
      <c r="A47" s="1" t="s">
        <v>12</v>
      </c>
      <c r="B47">
        <v>684471</v>
      </c>
      <c r="C47">
        <v>900515.6479166667</v>
      </c>
      <c r="D47">
        <v>5117472.4469999997</v>
      </c>
    </row>
    <row r="48" spans="1:6" x14ac:dyDescent="0.25">
      <c r="A48" t="s">
        <v>13</v>
      </c>
      <c r="B48">
        <v>687043.125</v>
      </c>
      <c r="C48">
        <v>875190.2895833333</v>
      </c>
      <c r="D48">
        <v>5008254.2659999998</v>
      </c>
    </row>
    <row r="51" spans="1:61" ht="15" customHeight="1" x14ac:dyDescent="0.25">
      <c r="A51" s="4" t="s">
        <v>17</v>
      </c>
    </row>
    <row r="52" spans="1:61" x14ac:dyDescent="0.25">
      <c r="A52" t="s">
        <v>16</v>
      </c>
      <c r="B52">
        <v>1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2</v>
      </c>
      <c r="W52">
        <v>2</v>
      </c>
      <c r="X52">
        <v>2</v>
      </c>
      <c r="Y52">
        <v>2</v>
      </c>
      <c r="Z52">
        <v>2</v>
      </c>
      <c r="AA52">
        <v>2</v>
      </c>
      <c r="AB52">
        <v>2</v>
      </c>
      <c r="AC52">
        <v>2</v>
      </c>
      <c r="AD52">
        <v>2</v>
      </c>
      <c r="AE52">
        <v>2</v>
      </c>
      <c r="AF52">
        <v>2</v>
      </c>
      <c r="AG52">
        <v>2</v>
      </c>
      <c r="AH52">
        <v>2</v>
      </c>
      <c r="AI52">
        <v>2</v>
      </c>
      <c r="AJ52">
        <v>2</v>
      </c>
      <c r="AK52">
        <v>2</v>
      </c>
      <c r="AL52">
        <v>2</v>
      </c>
      <c r="AM52">
        <v>2</v>
      </c>
      <c r="AN52">
        <v>2</v>
      </c>
      <c r="AO52">
        <v>2</v>
      </c>
      <c r="AP52">
        <v>3</v>
      </c>
      <c r="AQ52">
        <v>3</v>
      </c>
      <c r="AR52">
        <v>3</v>
      </c>
      <c r="AS52">
        <v>3</v>
      </c>
      <c r="AT52">
        <v>3</v>
      </c>
      <c r="AU52">
        <v>3</v>
      </c>
      <c r="AV52">
        <v>3</v>
      </c>
      <c r="AW52">
        <v>3</v>
      </c>
      <c r="AX52">
        <v>3</v>
      </c>
      <c r="AY52">
        <v>3</v>
      </c>
      <c r="AZ52">
        <v>3</v>
      </c>
      <c r="BA52">
        <v>3</v>
      </c>
      <c r="BB52">
        <v>3</v>
      </c>
      <c r="BC52">
        <v>3</v>
      </c>
      <c r="BD52">
        <v>3</v>
      </c>
      <c r="BE52">
        <v>3</v>
      </c>
      <c r="BF52">
        <v>3</v>
      </c>
      <c r="BG52">
        <v>3</v>
      </c>
      <c r="BH52">
        <v>3</v>
      </c>
      <c r="BI52">
        <v>3</v>
      </c>
    </row>
    <row r="53" spans="1:61" x14ac:dyDescent="0.25">
      <c r="A53" t="s">
        <v>6</v>
      </c>
      <c r="B53">
        <v>639687.29166666663</v>
      </c>
      <c r="C53">
        <v>639578.25</v>
      </c>
      <c r="D53">
        <v>639692.83333333337</v>
      </c>
      <c r="E53">
        <v>639500.33333333337</v>
      </c>
      <c r="F53">
        <v>640711.41666666663</v>
      </c>
      <c r="G53">
        <v>640590.04166666663</v>
      </c>
      <c r="H53">
        <v>639509.75</v>
      </c>
      <c r="I53">
        <v>640418.66666666663</v>
      </c>
      <c r="J53">
        <v>640317.83333333337</v>
      </c>
      <c r="K53">
        <v>639459.83333333337</v>
      </c>
      <c r="L53">
        <v>640646.875</v>
      </c>
      <c r="M53">
        <v>639606.33333333337</v>
      </c>
      <c r="N53">
        <v>639572.66666666663</v>
      </c>
      <c r="O53">
        <v>639509.79166666663</v>
      </c>
      <c r="P53">
        <v>640365.125</v>
      </c>
      <c r="Q53">
        <v>639632.5</v>
      </c>
      <c r="R53">
        <v>639547.875</v>
      </c>
      <c r="S53">
        <v>639683.125</v>
      </c>
      <c r="T53">
        <v>639664.25</v>
      </c>
      <c r="U53">
        <v>639447.20833333337</v>
      </c>
      <c r="V53">
        <v>769174.0625</v>
      </c>
      <c r="W53">
        <v>774779.39583333337</v>
      </c>
      <c r="X53">
        <v>774559.77083333337</v>
      </c>
      <c r="Y53">
        <v>764517.83333333337</v>
      </c>
      <c r="Z53">
        <v>751368.125</v>
      </c>
      <c r="AA53">
        <v>770054.64583333337</v>
      </c>
      <c r="AB53">
        <v>773656.75</v>
      </c>
      <c r="AC53">
        <v>766267.04166666663</v>
      </c>
      <c r="AD53">
        <v>770147.91666666663</v>
      </c>
      <c r="AE53">
        <v>757680.9375</v>
      </c>
      <c r="AF53">
        <v>764897.4375</v>
      </c>
      <c r="AG53">
        <v>771803.14583333337</v>
      </c>
      <c r="AH53">
        <v>767450.10416666663</v>
      </c>
      <c r="AI53">
        <v>790648.08333333337</v>
      </c>
      <c r="AJ53">
        <v>773924.27083333337</v>
      </c>
      <c r="AK53">
        <v>763976.58333333337</v>
      </c>
      <c r="AL53">
        <v>751326.08333333337</v>
      </c>
      <c r="AM53">
        <v>780769.39583333337</v>
      </c>
      <c r="AN53">
        <v>767844.60416666663</v>
      </c>
      <c r="AO53">
        <v>771518.97916666663</v>
      </c>
      <c r="AP53">
        <v>3703907.04</v>
      </c>
      <c r="AQ53">
        <v>3870610.35</v>
      </c>
      <c r="AR53">
        <v>3871308.79</v>
      </c>
      <c r="AS53">
        <v>3903038.48</v>
      </c>
      <c r="AT53">
        <v>3839795.72</v>
      </c>
      <c r="AU53">
        <v>3940219.59</v>
      </c>
      <c r="AV53">
        <v>3790605.96</v>
      </c>
      <c r="AW53">
        <v>3849363.31</v>
      </c>
      <c r="AX53">
        <v>3823916.93</v>
      </c>
      <c r="AY53">
        <v>3831626.86</v>
      </c>
      <c r="AZ53">
        <v>3814119.87</v>
      </c>
      <c r="BA53">
        <v>3853214.56</v>
      </c>
      <c r="BB53">
        <v>3934897.33</v>
      </c>
      <c r="BC53">
        <v>3936871.21</v>
      </c>
      <c r="BD53">
        <v>3782548.05</v>
      </c>
      <c r="BE53">
        <v>3889783.81</v>
      </c>
      <c r="BF53">
        <v>3824057.45</v>
      </c>
      <c r="BG53">
        <v>3781795.67</v>
      </c>
      <c r="BH53">
        <v>3884773.57</v>
      </c>
      <c r="BI53">
        <v>3851988.43</v>
      </c>
    </row>
    <row r="54" spans="1:61" x14ac:dyDescent="0.25">
      <c r="A54" t="s">
        <v>7</v>
      </c>
      <c r="B54">
        <v>615674.75</v>
      </c>
      <c r="C54">
        <v>615754.29166666663</v>
      </c>
      <c r="D54">
        <v>616009.125</v>
      </c>
      <c r="E54">
        <v>615593.66666666663</v>
      </c>
      <c r="F54">
        <v>615564.04166666663</v>
      </c>
      <c r="G54">
        <v>615956.625</v>
      </c>
      <c r="H54">
        <v>615656.45833333337</v>
      </c>
      <c r="I54">
        <v>615688.70833333337</v>
      </c>
      <c r="J54">
        <v>616036.29166666663</v>
      </c>
      <c r="K54">
        <v>615861.66666666663</v>
      </c>
      <c r="L54">
        <v>615645.04166666663</v>
      </c>
      <c r="M54">
        <v>615584.70833333337</v>
      </c>
      <c r="N54">
        <v>615646.20833333337</v>
      </c>
      <c r="O54">
        <v>615598.04166666663</v>
      </c>
      <c r="P54">
        <v>615800.95833333337</v>
      </c>
      <c r="Q54">
        <v>615688.875</v>
      </c>
      <c r="R54">
        <v>615811.33333333337</v>
      </c>
      <c r="S54">
        <v>615731.45833333337</v>
      </c>
      <c r="T54">
        <v>615532.25</v>
      </c>
      <c r="U54">
        <v>616520.83333333337</v>
      </c>
      <c r="V54">
        <v>750662.8125</v>
      </c>
      <c r="W54">
        <v>754804.35416666663</v>
      </c>
      <c r="X54">
        <v>747918.58333333337</v>
      </c>
      <c r="Y54">
        <v>755236.29166666663</v>
      </c>
      <c r="Z54">
        <v>765513.9375</v>
      </c>
      <c r="AA54">
        <v>741831.97916666663</v>
      </c>
      <c r="AB54">
        <v>743406.89583333337</v>
      </c>
      <c r="AC54">
        <v>743570.3125</v>
      </c>
      <c r="AD54">
        <v>747528.54166666663</v>
      </c>
      <c r="AE54">
        <v>747529.8125</v>
      </c>
      <c r="AF54">
        <v>754253.4375</v>
      </c>
      <c r="AG54">
        <v>737574.8125</v>
      </c>
      <c r="AH54">
        <v>763052.8125</v>
      </c>
      <c r="AI54">
        <v>767062.79166666663</v>
      </c>
      <c r="AJ54">
        <v>763556.75</v>
      </c>
      <c r="AK54">
        <v>761292.8125</v>
      </c>
      <c r="AL54">
        <v>720524.1875</v>
      </c>
      <c r="AM54">
        <v>747835.16666666663</v>
      </c>
      <c r="AN54">
        <v>742791.72916666663</v>
      </c>
      <c r="AO54">
        <v>751359.125</v>
      </c>
      <c r="AP54">
        <v>3757435.58</v>
      </c>
      <c r="AQ54">
        <v>3869591.1</v>
      </c>
      <c r="AR54">
        <v>3842189.46</v>
      </c>
      <c r="AS54">
        <v>3690428.65</v>
      </c>
      <c r="AT54">
        <v>3762745.27</v>
      </c>
      <c r="AU54">
        <v>3806288.31</v>
      </c>
      <c r="AV54">
        <v>3881111.44</v>
      </c>
      <c r="AW54">
        <v>3658681.34</v>
      </c>
      <c r="AX54">
        <v>3845621.24</v>
      </c>
      <c r="AY54">
        <v>3720611.02</v>
      </c>
      <c r="AZ54">
        <v>3822179.29</v>
      </c>
      <c r="BA54">
        <v>3874648.47</v>
      </c>
      <c r="BB54">
        <v>3901070.22</v>
      </c>
      <c r="BC54">
        <v>3842988.93</v>
      </c>
      <c r="BD54">
        <v>3740609.12</v>
      </c>
      <c r="BE54">
        <v>3676064.46</v>
      </c>
      <c r="BF54">
        <v>3828746.05</v>
      </c>
      <c r="BG54">
        <v>3718826.75</v>
      </c>
      <c r="BH54">
        <v>3816853.29</v>
      </c>
      <c r="BI54">
        <v>3788002.56</v>
      </c>
    </row>
    <row r="55" spans="1:61" x14ac:dyDescent="0.25">
      <c r="A55" t="s">
        <v>8</v>
      </c>
      <c r="B55">
        <v>626378</v>
      </c>
      <c r="C55">
        <v>626377.79166666663</v>
      </c>
      <c r="D55">
        <v>626377.875</v>
      </c>
      <c r="E55">
        <v>626377.54166666663</v>
      </c>
      <c r="F55">
        <v>626377.41666666663</v>
      </c>
      <c r="G55">
        <v>626376.54166666663</v>
      </c>
      <c r="H55">
        <v>626376.54166666663</v>
      </c>
      <c r="I55">
        <v>626376.91666666663</v>
      </c>
      <c r="J55">
        <v>626377.04166666663</v>
      </c>
      <c r="K55">
        <v>626377.45833333337</v>
      </c>
      <c r="L55">
        <v>626379.95833333337</v>
      </c>
      <c r="M55">
        <v>626378.16666666663</v>
      </c>
      <c r="N55">
        <v>626377.45833333337</v>
      </c>
      <c r="O55">
        <v>626375.66666666663</v>
      </c>
      <c r="P55">
        <v>626375.70833333337</v>
      </c>
      <c r="Q55">
        <v>626377.45833333337</v>
      </c>
      <c r="R55">
        <v>626375.70833333337</v>
      </c>
      <c r="S55">
        <v>626378.04166666663</v>
      </c>
      <c r="T55">
        <v>626377.33333333337</v>
      </c>
      <c r="U55">
        <v>626378.25</v>
      </c>
      <c r="V55">
        <v>774537.125</v>
      </c>
      <c r="W55">
        <v>774535.8125</v>
      </c>
      <c r="X55">
        <v>774533.54166666663</v>
      </c>
      <c r="Y55">
        <v>774535.39583333337</v>
      </c>
      <c r="Z55">
        <v>774534.27083333337</v>
      </c>
      <c r="AA55">
        <v>774540.54166666663</v>
      </c>
      <c r="AB55">
        <v>774538.5625</v>
      </c>
      <c r="AC55">
        <v>774533.02083333337</v>
      </c>
      <c r="AD55">
        <v>774532.66666666663</v>
      </c>
      <c r="AE55">
        <v>774536.5</v>
      </c>
      <c r="AF55">
        <v>774534.89583333337</v>
      </c>
      <c r="AG55">
        <v>774536.89583333337</v>
      </c>
      <c r="AH55">
        <v>774533.97916666663</v>
      </c>
      <c r="AI55">
        <v>774534.89583333337</v>
      </c>
      <c r="AJ55">
        <v>774535.89583333337</v>
      </c>
      <c r="AK55">
        <v>774534.6875</v>
      </c>
      <c r="AL55">
        <v>774535.54166666663</v>
      </c>
      <c r="AM55">
        <v>774535.75</v>
      </c>
      <c r="AN55">
        <v>774535.16666666663</v>
      </c>
      <c r="AO55">
        <v>774535.10416666663</v>
      </c>
      <c r="AP55">
        <v>4998734.75</v>
      </c>
      <c r="AQ55">
        <v>4998733.7699999996</v>
      </c>
      <c r="AR55">
        <v>4998734.63</v>
      </c>
      <c r="AS55">
        <v>4998736.82</v>
      </c>
      <c r="AT55">
        <v>4998734.6100000003</v>
      </c>
      <c r="AU55">
        <v>4998734.84</v>
      </c>
      <c r="AV55">
        <v>4998736.63</v>
      </c>
      <c r="AW55">
        <v>4998735.8600000003</v>
      </c>
      <c r="AX55">
        <v>4998733.7699999996</v>
      </c>
      <c r="AY55">
        <v>4998736.29</v>
      </c>
      <c r="AZ55">
        <v>4998734.95</v>
      </c>
      <c r="BA55">
        <v>4998733.2300000004</v>
      </c>
      <c r="BB55">
        <v>4998736.3499999996</v>
      </c>
      <c r="BC55">
        <v>4998735.09</v>
      </c>
      <c r="BD55">
        <v>4998736.12</v>
      </c>
      <c r="BE55">
        <v>4998736.08</v>
      </c>
      <c r="BF55">
        <v>4998734.2</v>
      </c>
      <c r="BG55">
        <v>4998734.92</v>
      </c>
      <c r="BH55">
        <v>4998735.41</v>
      </c>
      <c r="BI55">
        <v>4998736.63</v>
      </c>
    </row>
    <row r="56" spans="1:61" x14ac:dyDescent="0.25">
      <c r="A56" t="s">
        <v>9</v>
      </c>
      <c r="B56">
        <v>713951.45833333337</v>
      </c>
      <c r="C56">
        <v>753587.83333333337</v>
      </c>
      <c r="D56">
        <v>684128.95833333337</v>
      </c>
      <c r="E56">
        <v>671300.70833333337</v>
      </c>
      <c r="F56">
        <v>775166.29166666663</v>
      </c>
      <c r="G56">
        <v>641288.83333333337</v>
      </c>
      <c r="H56">
        <v>677358.16666666663</v>
      </c>
      <c r="I56">
        <v>745770.83333333337</v>
      </c>
      <c r="J56">
        <v>689236.375</v>
      </c>
      <c r="K56">
        <v>800541.41666666663</v>
      </c>
      <c r="L56">
        <v>664143.95833333337</v>
      </c>
      <c r="M56">
        <v>664339.91666666663</v>
      </c>
      <c r="N56">
        <v>692737</v>
      </c>
      <c r="O56">
        <v>676291.25</v>
      </c>
      <c r="P56">
        <v>658412.70833333337</v>
      </c>
      <c r="Q56">
        <v>761248.58333333337</v>
      </c>
      <c r="R56">
        <v>742660.375</v>
      </c>
      <c r="S56">
        <v>693490.41666666663</v>
      </c>
      <c r="T56">
        <v>765108.54166666663</v>
      </c>
      <c r="U56">
        <v>781965.33333333337</v>
      </c>
      <c r="V56">
        <v>950969.83333333337</v>
      </c>
      <c r="W56">
        <v>992234.89583333337</v>
      </c>
      <c r="X56">
        <v>767662.39583333337</v>
      </c>
      <c r="Y56">
        <v>1034539.520833333</v>
      </c>
      <c r="Z56">
        <v>929180.33333333337</v>
      </c>
      <c r="AA56">
        <v>888898.89583333337</v>
      </c>
      <c r="AB56">
        <v>840856.35416666663</v>
      </c>
      <c r="AC56">
        <v>814832.52083333337</v>
      </c>
      <c r="AD56">
        <v>1011463.541666667</v>
      </c>
      <c r="AE56">
        <v>941220.22916666663</v>
      </c>
      <c r="AF56">
        <v>877596.75</v>
      </c>
      <c r="AG56">
        <v>1298497.895833333</v>
      </c>
      <c r="AH56">
        <v>914974.97916666663</v>
      </c>
      <c r="AI56">
        <v>792399.83333333337</v>
      </c>
      <c r="AJ56">
        <v>810259.16666666663</v>
      </c>
      <c r="AK56">
        <v>888985.85416666663</v>
      </c>
      <c r="AL56">
        <v>813007.97916666663</v>
      </c>
      <c r="AM56">
        <v>893092.35416666663</v>
      </c>
      <c r="AN56">
        <v>851253.02083333337</v>
      </c>
      <c r="AO56">
        <v>1071593.958333333</v>
      </c>
      <c r="AP56">
        <v>3975495.87</v>
      </c>
      <c r="AQ56">
        <v>5957739.4500000002</v>
      </c>
      <c r="AR56">
        <v>4994925.37</v>
      </c>
      <c r="AS56">
        <v>4983794.32</v>
      </c>
      <c r="AT56">
        <v>4774845.51</v>
      </c>
      <c r="AU56">
        <v>4799158.67</v>
      </c>
      <c r="AV56">
        <v>7332082.0999999996</v>
      </c>
      <c r="AW56">
        <v>5025626.3</v>
      </c>
      <c r="AX56">
        <v>4627205.38</v>
      </c>
      <c r="AY56">
        <v>5357083.96</v>
      </c>
      <c r="AZ56">
        <v>5886784.1500000004</v>
      </c>
      <c r="BA56">
        <v>7312960.8700000001</v>
      </c>
      <c r="BB56">
        <v>4097825.19</v>
      </c>
      <c r="BC56">
        <v>5099837.3099999996</v>
      </c>
      <c r="BD56">
        <v>6304961.7300000004</v>
      </c>
      <c r="BE56">
        <v>5080205.8600000003</v>
      </c>
      <c r="BF56">
        <v>5406114.4800000004</v>
      </c>
      <c r="BG56">
        <v>4204463.63</v>
      </c>
      <c r="BH56">
        <v>4753764.96</v>
      </c>
      <c r="BI56">
        <v>5033692.7699999996</v>
      </c>
    </row>
    <row r="57" spans="1:61" x14ac:dyDescent="0.25">
      <c r="A57" t="s">
        <v>10</v>
      </c>
      <c r="B57">
        <v>658164.20833333337</v>
      </c>
      <c r="C57">
        <v>617137.75</v>
      </c>
      <c r="D57">
        <v>645272.95833333337</v>
      </c>
      <c r="E57">
        <v>640852.45833333337</v>
      </c>
      <c r="F57">
        <v>647386.33333333337</v>
      </c>
      <c r="G57">
        <v>667445.66666666663</v>
      </c>
      <c r="H57">
        <v>627432.70833333337</v>
      </c>
      <c r="I57">
        <v>642298.41666666663</v>
      </c>
      <c r="J57">
        <v>641243.91666666663</v>
      </c>
      <c r="K57">
        <v>642217.29166666663</v>
      </c>
      <c r="L57">
        <v>645013.95833333337</v>
      </c>
      <c r="M57">
        <v>650766.66666666663</v>
      </c>
      <c r="N57">
        <v>625580.91666666663</v>
      </c>
      <c r="O57">
        <v>642194.45833333337</v>
      </c>
      <c r="P57">
        <v>641998.95833333337</v>
      </c>
      <c r="Q57">
        <v>642136</v>
      </c>
      <c r="R57">
        <v>641990.79166666663</v>
      </c>
      <c r="S57">
        <v>616756.04166666663</v>
      </c>
      <c r="T57">
        <v>625557.875</v>
      </c>
      <c r="U57">
        <v>616126.5</v>
      </c>
      <c r="V57">
        <v>859198.33333333337</v>
      </c>
      <c r="W57">
        <v>855301.0625</v>
      </c>
      <c r="X57">
        <v>831897.70833333337</v>
      </c>
      <c r="Y57">
        <v>858619.29166666663</v>
      </c>
      <c r="Z57">
        <v>828746.35416666663</v>
      </c>
      <c r="AA57">
        <v>876918.375</v>
      </c>
      <c r="AB57">
        <v>934182.95833333337</v>
      </c>
      <c r="AC57">
        <v>853381.89583333337</v>
      </c>
      <c r="AD57">
        <v>923748.0625</v>
      </c>
      <c r="AE57">
        <v>931222.875</v>
      </c>
      <c r="AF57">
        <v>918232.5625</v>
      </c>
      <c r="AG57">
        <v>861444.85416666663</v>
      </c>
      <c r="AH57">
        <v>785111.04166666663</v>
      </c>
      <c r="AI57">
        <v>850378.64583333337</v>
      </c>
      <c r="AJ57">
        <v>921494.58333333337</v>
      </c>
      <c r="AK57">
        <v>843413.89583333337</v>
      </c>
      <c r="AL57">
        <v>945197.70833333337</v>
      </c>
      <c r="AM57">
        <v>920441</v>
      </c>
      <c r="AN57">
        <v>813681.97916666663</v>
      </c>
      <c r="AO57">
        <v>832998.1875</v>
      </c>
      <c r="AP57">
        <v>4701181.72</v>
      </c>
      <c r="AQ57">
        <v>4534396.6500000004</v>
      </c>
      <c r="AR57">
        <v>4564963.68</v>
      </c>
      <c r="AS57">
        <v>4509044.47</v>
      </c>
      <c r="AT57">
        <v>4652965.8499999996</v>
      </c>
      <c r="AU57">
        <v>4599381.82</v>
      </c>
      <c r="AV57">
        <v>5180398.3099999996</v>
      </c>
      <c r="AW57">
        <v>4548974.63</v>
      </c>
      <c r="AX57">
        <v>5021488</v>
      </c>
      <c r="AY57">
        <v>4905934.4000000004</v>
      </c>
      <c r="AZ57">
        <v>4551964.45</v>
      </c>
      <c r="BA57">
        <v>4633740.3899999997</v>
      </c>
      <c r="BB57">
        <v>5286736.6100000003</v>
      </c>
      <c r="BC57">
        <v>4749939.3</v>
      </c>
      <c r="BD57">
        <v>4669528.22</v>
      </c>
      <c r="BE57">
        <v>4881812.34</v>
      </c>
      <c r="BF57">
        <v>4750108.51</v>
      </c>
      <c r="BG57">
        <v>5145103.7300000004</v>
      </c>
      <c r="BH57">
        <v>4972577.3099999996</v>
      </c>
      <c r="BI57">
        <v>4573391.75</v>
      </c>
    </row>
    <row r="58" spans="1:61" x14ac:dyDescent="0.25">
      <c r="A58" t="s">
        <v>11</v>
      </c>
      <c r="B58">
        <v>721606.25</v>
      </c>
      <c r="C58">
        <v>661139.33333333337</v>
      </c>
      <c r="D58">
        <v>670680.04166666663</v>
      </c>
      <c r="E58">
        <v>677418.33333333337</v>
      </c>
      <c r="F58">
        <v>667929.45833333337</v>
      </c>
      <c r="G58">
        <v>687804.58333333337</v>
      </c>
      <c r="H58">
        <v>678449.45833333337</v>
      </c>
      <c r="I58">
        <v>737942.29166666663</v>
      </c>
      <c r="J58">
        <v>694308.875</v>
      </c>
      <c r="K58">
        <v>736816.79166666663</v>
      </c>
      <c r="L58">
        <v>798164.58333333337</v>
      </c>
      <c r="M58">
        <v>932816</v>
      </c>
      <c r="N58">
        <v>678166.45833333337</v>
      </c>
      <c r="O58">
        <v>684254.125</v>
      </c>
      <c r="P58">
        <v>645733</v>
      </c>
      <c r="Q58">
        <v>683417.45833333337</v>
      </c>
      <c r="R58">
        <v>691603.04166666663</v>
      </c>
      <c r="S58">
        <v>755781.45833333337</v>
      </c>
      <c r="T58">
        <v>700092.125</v>
      </c>
      <c r="U58">
        <v>690117.45833333337</v>
      </c>
      <c r="V58">
        <v>857499.58333333337</v>
      </c>
      <c r="W58">
        <v>871921.70833333337</v>
      </c>
      <c r="X58">
        <v>1098804.375</v>
      </c>
      <c r="Y58">
        <v>1060195.229166667</v>
      </c>
      <c r="Z58">
        <v>995350.85416666663</v>
      </c>
      <c r="AA58">
        <v>767067.4375</v>
      </c>
      <c r="AB58">
        <v>856875.52083333337</v>
      </c>
      <c r="AC58">
        <v>790406.4375</v>
      </c>
      <c r="AD58">
        <v>877008.875</v>
      </c>
      <c r="AE58">
        <v>802912.14583333337</v>
      </c>
      <c r="AF58">
        <v>975674.52083333337</v>
      </c>
      <c r="AG58">
        <v>1019419.895833333</v>
      </c>
      <c r="AH58">
        <v>800846.5625</v>
      </c>
      <c r="AI58">
        <v>1052477.270833333</v>
      </c>
      <c r="AJ58">
        <v>944707.5</v>
      </c>
      <c r="AK58">
        <v>880689.41666666663</v>
      </c>
      <c r="AL58">
        <v>876235.625</v>
      </c>
      <c r="AM58">
        <v>1030545.520833333</v>
      </c>
      <c r="AN58">
        <v>835234.85416666663</v>
      </c>
      <c r="AO58">
        <v>996956.52083333337</v>
      </c>
      <c r="AP58">
        <v>5110748.3499999996</v>
      </c>
      <c r="AQ58">
        <v>4067963.19</v>
      </c>
      <c r="AR58">
        <v>6868207.6100000003</v>
      </c>
      <c r="AS58">
        <v>5596846.8099999996</v>
      </c>
      <c r="AT58">
        <v>5795028.1299999999</v>
      </c>
      <c r="AU58">
        <v>6033749.3499999996</v>
      </c>
      <c r="AV58">
        <v>4444078.07</v>
      </c>
      <c r="AW58">
        <v>6392880.25</v>
      </c>
      <c r="AX58">
        <v>5303341.74</v>
      </c>
      <c r="AY58">
        <v>4952060.88</v>
      </c>
      <c r="AZ58">
        <v>4498137.55</v>
      </c>
      <c r="BA58">
        <v>5666740.3799999999</v>
      </c>
      <c r="BB58">
        <v>4616650.87</v>
      </c>
      <c r="BC58">
        <v>5737412.75</v>
      </c>
      <c r="BD58">
        <v>4672812.2</v>
      </c>
      <c r="BE58">
        <v>4827420.6900000004</v>
      </c>
      <c r="BF58">
        <v>4719570.6100000003</v>
      </c>
      <c r="BG58">
        <v>4593109.28</v>
      </c>
      <c r="BH58">
        <v>4950676.28</v>
      </c>
      <c r="BI58">
        <v>4826074.12</v>
      </c>
    </row>
    <row r="59" spans="1:61" ht="15" customHeight="1" x14ac:dyDescent="0.25">
      <c r="A59" s="1" t="s">
        <v>12</v>
      </c>
      <c r="B59">
        <v>764331.5</v>
      </c>
      <c r="C59">
        <v>676822.16666666663</v>
      </c>
      <c r="D59">
        <v>695633.75</v>
      </c>
      <c r="E59">
        <v>701680</v>
      </c>
      <c r="F59">
        <v>644272.5</v>
      </c>
      <c r="G59">
        <v>653392.125</v>
      </c>
      <c r="H59">
        <v>684005</v>
      </c>
      <c r="I59">
        <v>689498.79166666663</v>
      </c>
      <c r="J59">
        <v>663544</v>
      </c>
      <c r="K59">
        <v>675637.04166666663</v>
      </c>
      <c r="L59">
        <v>760104.16666666663</v>
      </c>
      <c r="M59">
        <v>696423</v>
      </c>
      <c r="N59">
        <v>680240.70833333337</v>
      </c>
      <c r="O59">
        <v>689361.16666666663</v>
      </c>
      <c r="P59">
        <v>695997.20833333337</v>
      </c>
      <c r="Q59">
        <v>664200.79166666663</v>
      </c>
      <c r="R59">
        <v>666220.04166666663</v>
      </c>
      <c r="S59">
        <v>616691.04166666663</v>
      </c>
      <c r="T59">
        <v>678635.54166666663</v>
      </c>
      <c r="U59">
        <v>692729.45833333337</v>
      </c>
      <c r="V59">
        <v>1000725.4375</v>
      </c>
      <c r="W59">
        <v>839052.70833333337</v>
      </c>
      <c r="X59">
        <v>830016.10416666663</v>
      </c>
      <c r="Y59">
        <v>870670.29166666663</v>
      </c>
      <c r="Z59">
        <v>822425.9375</v>
      </c>
      <c r="AA59">
        <v>835256.9375</v>
      </c>
      <c r="AB59">
        <v>944174.91666666663</v>
      </c>
      <c r="AC59">
        <v>960430.27083333337</v>
      </c>
      <c r="AD59">
        <v>995458.125</v>
      </c>
      <c r="AE59">
        <v>939373.04166666663</v>
      </c>
      <c r="AF59">
        <v>822476.89583333337</v>
      </c>
      <c r="AG59">
        <v>805789.45833333337</v>
      </c>
      <c r="AH59">
        <v>837344.375</v>
      </c>
      <c r="AI59">
        <v>1052355.270833333</v>
      </c>
      <c r="AJ59">
        <v>889123.22916666663</v>
      </c>
      <c r="AK59">
        <v>873551.89583333337</v>
      </c>
      <c r="AL59">
        <v>866407.39583333337</v>
      </c>
      <c r="AM59">
        <v>826084.47916666663</v>
      </c>
      <c r="AN59">
        <v>988927.64583333337</v>
      </c>
      <c r="AO59">
        <v>1010668.541666667</v>
      </c>
      <c r="AP59">
        <v>5224974.1100000003</v>
      </c>
      <c r="AQ59">
        <v>5145925.6100000003</v>
      </c>
      <c r="AR59">
        <v>4817594.78</v>
      </c>
      <c r="AS59">
        <v>5005764.8899999997</v>
      </c>
      <c r="AT59">
        <v>4971414.25</v>
      </c>
      <c r="AU59">
        <v>5349920.87</v>
      </c>
      <c r="AV59">
        <v>5479704.5</v>
      </c>
      <c r="AW59">
        <v>5219816.97</v>
      </c>
      <c r="AX59">
        <v>5180529.0999999996</v>
      </c>
      <c r="AY59">
        <v>5151545.18</v>
      </c>
      <c r="AZ59">
        <v>4867195.04</v>
      </c>
      <c r="BA59">
        <v>5399967.0499999998</v>
      </c>
      <c r="BB59">
        <v>4880850.2</v>
      </c>
      <c r="BC59">
        <v>5019977.8099999996</v>
      </c>
      <c r="BD59">
        <v>4831637.5</v>
      </c>
      <c r="BE59">
        <v>5364757.66</v>
      </c>
      <c r="BF59">
        <v>4972281.83</v>
      </c>
      <c r="BG59">
        <v>5357890.26</v>
      </c>
      <c r="BH59">
        <v>5183005.18</v>
      </c>
      <c r="BI59">
        <v>4924696.1500000004</v>
      </c>
    </row>
    <row r="60" spans="1:61" x14ac:dyDescent="0.25">
      <c r="A60" t="s">
        <v>13</v>
      </c>
      <c r="B60">
        <v>674166.5</v>
      </c>
      <c r="C60">
        <v>689253</v>
      </c>
      <c r="D60">
        <v>716164.25</v>
      </c>
      <c r="E60">
        <v>669442.125</v>
      </c>
      <c r="F60">
        <v>674327.70833333337</v>
      </c>
      <c r="G60">
        <v>645705.79166666663</v>
      </c>
      <c r="H60">
        <v>753019.33333333337</v>
      </c>
      <c r="I60">
        <v>647718.04166666663</v>
      </c>
      <c r="J60">
        <v>676151.79166666663</v>
      </c>
      <c r="K60">
        <v>672862.375</v>
      </c>
      <c r="L60">
        <v>663118.5</v>
      </c>
      <c r="M60">
        <v>664199.66666666663</v>
      </c>
      <c r="N60">
        <v>645493.20833333337</v>
      </c>
      <c r="O60">
        <v>827496.54166666663</v>
      </c>
      <c r="P60">
        <v>661579.54166666663</v>
      </c>
      <c r="Q60">
        <v>739399.54166666663</v>
      </c>
      <c r="R60">
        <v>689586.125</v>
      </c>
      <c r="S60">
        <v>676458.45833333337</v>
      </c>
      <c r="T60">
        <v>661586.04166666663</v>
      </c>
      <c r="U60">
        <v>693133.95833333337</v>
      </c>
      <c r="V60">
        <v>1026273.458333333</v>
      </c>
      <c r="W60">
        <v>776207.5625</v>
      </c>
      <c r="X60">
        <v>808536.875</v>
      </c>
      <c r="Y60">
        <v>892189.85416666663</v>
      </c>
      <c r="Z60">
        <v>878976.625</v>
      </c>
      <c r="AA60">
        <v>968943.625</v>
      </c>
      <c r="AB60">
        <v>895165.75</v>
      </c>
      <c r="AC60">
        <v>910543.5625</v>
      </c>
      <c r="AD60">
        <v>838257.14583333337</v>
      </c>
      <c r="AE60">
        <v>851532.83333333337</v>
      </c>
      <c r="AF60">
        <v>777059.16666666663</v>
      </c>
      <c r="AG60">
        <v>776719.91666666663</v>
      </c>
      <c r="AH60">
        <v>961895.58333333337</v>
      </c>
      <c r="AI60">
        <v>906841.39583333337</v>
      </c>
      <c r="AJ60">
        <v>842070.22916666663</v>
      </c>
      <c r="AK60">
        <v>877549.75</v>
      </c>
      <c r="AL60">
        <v>899380.91666666663</v>
      </c>
      <c r="AM60">
        <v>935025.14583333337</v>
      </c>
      <c r="AN60">
        <v>831146.72916666663</v>
      </c>
      <c r="AO60">
        <v>849489.66666666663</v>
      </c>
      <c r="AP60">
        <v>4079648.05</v>
      </c>
      <c r="AQ60">
        <v>5978984.7400000002</v>
      </c>
      <c r="AR60">
        <v>5052624.51</v>
      </c>
      <c r="AS60">
        <v>6602712.4100000001</v>
      </c>
      <c r="AT60">
        <v>3874822.81</v>
      </c>
      <c r="AU60">
        <v>4719535.49</v>
      </c>
      <c r="AV60">
        <v>4587010.38</v>
      </c>
      <c r="AW60">
        <v>4581084.1500000004</v>
      </c>
      <c r="AX60">
        <v>3932378.26</v>
      </c>
      <c r="AY60">
        <v>4909424.3099999996</v>
      </c>
      <c r="AZ60">
        <v>4612431.0199999996</v>
      </c>
      <c r="BA60">
        <v>6247589.6699999999</v>
      </c>
      <c r="BB60">
        <v>4341820.88</v>
      </c>
      <c r="BC60">
        <v>5195605.7</v>
      </c>
      <c r="BD60">
        <v>4837873.03</v>
      </c>
      <c r="BE60">
        <v>4447584.92</v>
      </c>
      <c r="BF60">
        <v>5265317.0999999996</v>
      </c>
      <c r="BG60">
        <v>6166203.5099999998</v>
      </c>
      <c r="BH60">
        <v>5123938.18</v>
      </c>
      <c r="BI60">
        <v>5608496.2000000002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I60"/>
  <sheetViews>
    <sheetView zoomScaleNormal="100" workbookViewId="0">
      <selection activeCell="D73" sqref="D73"/>
    </sheetView>
  </sheetViews>
  <sheetFormatPr defaultColWidth="8.5703125" defaultRowHeight="15" x14ac:dyDescent="0.25"/>
  <cols>
    <col min="1" max="1" width="24" customWidth="1"/>
    <col min="2" max="61" width="20" customWidth="1"/>
  </cols>
  <sheetData>
    <row r="1" spans="1:6" ht="15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 t="s">
        <v>6</v>
      </c>
      <c r="B2">
        <v>1</v>
      </c>
      <c r="C2">
        <v>1463027414.75</v>
      </c>
      <c r="D2">
        <v>1364930185</v>
      </c>
      <c r="E2">
        <v>1563380510.833333</v>
      </c>
      <c r="F2">
        <v>43870613.361040771</v>
      </c>
    </row>
    <row r="3" spans="1:6" x14ac:dyDescent="0.25">
      <c r="A3" t="s">
        <v>6</v>
      </c>
      <c r="B3">
        <v>2</v>
      </c>
      <c r="C3">
        <v>2132749140.125</v>
      </c>
      <c r="D3">
        <v>1931811420</v>
      </c>
      <c r="E3">
        <v>2331685302.5</v>
      </c>
      <c r="F3">
        <v>99703952.649699837</v>
      </c>
    </row>
    <row r="4" spans="1:6" x14ac:dyDescent="0.25">
      <c r="A4" t="s">
        <v>6</v>
      </c>
      <c r="B4">
        <v>3</v>
      </c>
      <c r="C4">
        <v>10376251323.66667</v>
      </c>
      <c r="D4">
        <v>9138610592.5</v>
      </c>
      <c r="E4">
        <v>11470239319.16667</v>
      </c>
      <c r="F4">
        <v>543227222.54531133</v>
      </c>
    </row>
    <row r="5" spans="1:6" x14ac:dyDescent="0.25">
      <c r="A5" t="s">
        <v>7</v>
      </c>
      <c r="B5">
        <v>1</v>
      </c>
      <c r="C5">
        <v>1316005934.791667</v>
      </c>
      <c r="D5">
        <v>1209615181.666667</v>
      </c>
      <c r="E5">
        <v>1412483853.333333</v>
      </c>
      <c r="F5">
        <v>49269493.772960417</v>
      </c>
    </row>
    <row r="6" spans="1:6" x14ac:dyDescent="0.25">
      <c r="A6" t="s">
        <v>7</v>
      </c>
      <c r="B6">
        <v>2</v>
      </c>
      <c r="C6">
        <v>1917878371.416667</v>
      </c>
      <c r="D6">
        <v>1789595762.5</v>
      </c>
      <c r="E6">
        <v>2173850501.666667</v>
      </c>
      <c r="F6">
        <v>76468535.257421926</v>
      </c>
    </row>
    <row r="7" spans="1:6" x14ac:dyDescent="0.25">
      <c r="A7" t="s">
        <v>7</v>
      </c>
      <c r="B7">
        <v>3</v>
      </c>
      <c r="C7">
        <v>9387201958.666666</v>
      </c>
      <c r="D7">
        <v>8445092785.833334</v>
      </c>
      <c r="E7">
        <v>12039816968.33333</v>
      </c>
      <c r="F7">
        <v>736729069.90232754</v>
      </c>
    </row>
    <row r="8" spans="1:6" x14ac:dyDescent="0.25">
      <c r="A8" t="s">
        <v>8</v>
      </c>
      <c r="B8">
        <v>1</v>
      </c>
      <c r="C8">
        <v>1451296667.833333</v>
      </c>
      <c r="D8">
        <v>1451283575.833333</v>
      </c>
      <c r="E8">
        <v>1451305175.833333</v>
      </c>
      <c r="F8">
        <v>5295.5090406872123</v>
      </c>
    </row>
    <row r="9" spans="1:6" x14ac:dyDescent="0.25">
      <c r="A9" t="s">
        <v>8</v>
      </c>
      <c r="B9">
        <v>2</v>
      </c>
      <c r="C9">
        <v>2007404920.666667</v>
      </c>
      <c r="D9">
        <v>2007398176.666667</v>
      </c>
      <c r="E9">
        <v>2007413056.666667</v>
      </c>
      <c r="F9">
        <v>4258.1573479616754</v>
      </c>
    </row>
    <row r="10" spans="1:6" x14ac:dyDescent="0.25">
      <c r="A10" t="s">
        <v>8</v>
      </c>
      <c r="B10">
        <v>3</v>
      </c>
      <c r="C10">
        <v>15662384109.16667</v>
      </c>
      <c r="D10">
        <v>15662373129.16667</v>
      </c>
      <c r="E10">
        <v>15662390649.16667</v>
      </c>
      <c r="F10">
        <v>4068.6017254088661</v>
      </c>
    </row>
    <row r="11" spans="1:6" x14ac:dyDescent="0.25">
      <c r="A11" t="s">
        <v>9</v>
      </c>
      <c r="B11">
        <v>1</v>
      </c>
      <c r="C11">
        <v>1561975960.125</v>
      </c>
      <c r="D11">
        <v>1276383222.5</v>
      </c>
      <c r="E11">
        <v>2038553091.666667</v>
      </c>
      <c r="F11">
        <v>227938249.92093679</v>
      </c>
    </row>
    <row r="12" spans="1:6" ht="15" customHeight="1" x14ac:dyDescent="0.25">
      <c r="A12" s="1" t="s">
        <v>9</v>
      </c>
      <c r="B12">
        <v>2</v>
      </c>
      <c r="C12">
        <v>2457801611.041667</v>
      </c>
      <c r="D12">
        <v>1767824482.5</v>
      </c>
      <c r="E12">
        <v>3749373777.5</v>
      </c>
      <c r="F12">
        <v>501577269.00030369</v>
      </c>
    </row>
    <row r="13" spans="1:6" x14ac:dyDescent="0.25">
      <c r="A13" t="s">
        <v>9</v>
      </c>
      <c r="B13">
        <v>3</v>
      </c>
      <c r="C13">
        <v>18416365985.416672</v>
      </c>
      <c r="D13">
        <v>10558009858.33333</v>
      </c>
      <c r="E13">
        <v>31857540200.833328</v>
      </c>
      <c r="F13">
        <v>4739468587.2825022</v>
      </c>
    </row>
    <row r="14" spans="1:6" x14ac:dyDescent="0.25">
      <c r="A14" t="s">
        <v>10</v>
      </c>
      <c r="B14">
        <v>1</v>
      </c>
      <c r="C14">
        <v>1421213228.333333</v>
      </c>
      <c r="D14">
        <v>1387212907.5</v>
      </c>
      <c r="E14">
        <v>1456847395</v>
      </c>
      <c r="F14">
        <v>16797449.03157321</v>
      </c>
    </row>
    <row r="15" spans="1:6" x14ac:dyDescent="0.25">
      <c r="A15" t="s">
        <v>10</v>
      </c>
      <c r="B15">
        <v>2</v>
      </c>
      <c r="C15">
        <v>2239990391.708333</v>
      </c>
      <c r="D15">
        <v>2131694874.166667</v>
      </c>
      <c r="E15">
        <v>2371686610</v>
      </c>
      <c r="F15">
        <v>49298569.919159517</v>
      </c>
    </row>
    <row r="16" spans="1:6" x14ac:dyDescent="0.25">
      <c r="A16" t="s">
        <v>10</v>
      </c>
      <c r="B16">
        <v>3</v>
      </c>
      <c r="C16">
        <v>15370578256.58333</v>
      </c>
      <c r="D16">
        <v>14524414567.5</v>
      </c>
      <c r="E16">
        <v>16233285633.33333</v>
      </c>
      <c r="F16">
        <v>513886835.75597441</v>
      </c>
    </row>
    <row r="17" spans="1:6" x14ac:dyDescent="0.25">
      <c r="A17" t="s">
        <v>11</v>
      </c>
      <c r="B17">
        <v>1</v>
      </c>
      <c r="C17">
        <v>1540867472.041667</v>
      </c>
      <c r="D17">
        <v>1276298062.5</v>
      </c>
      <c r="E17">
        <v>2580524661.666667</v>
      </c>
      <c r="F17">
        <v>329093058.49142659</v>
      </c>
    </row>
    <row r="18" spans="1:6" x14ac:dyDescent="0.25">
      <c r="A18" t="s">
        <v>11</v>
      </c>
      <c r="B18">
        <v>2</v>
      </c>
      <c r="C18">
        <v>2606285532.333333</v>
      </c>
      <c r="D18">
        <v>1823524326.666667</v>
      </c>
      <c r="E18">
        <v>3548360510.833333</v>
      </c>
      <c r="F18">
        <v>501439092.51521683</v>
      </c>
    </row>
    <row r="19" spans="1:6" x14ac:dyDescent="0.25">
      <c r="A19" t="s">
        <v>11</v>
      </c>
      <c r="B19">
        <v>3</v>
      </c>
      <c r="C19">
        <v>17619017265.95834</v>
      </c>
      <c r="D19">
        <v>11576100331.66667</v>
      </c>
      <c r="E19">
        <v>25142343888.333328</v>
      </c>
      <c r="F19">
        <v>3305310451.9066401</v>
      </c>
    </row>
    <row r="20" spans="1:6" ht="15" customHeight="1" x14ac:dyDescent="0.25">
      <c r="A20" s="1" t="s">
        <v>12</v>
      </c>
      <c r="B20">
        <v>1</v>
      </c>
      <c r="C20">
        <v>1484225116.583333</v>
      </c>
      <c r="D20">
        <v>1414816890</v>
      </c>
      <c r="E20">
        <v>1698296295.833333</v>
      </c>
      <c r="F20">
        <v>60215145.698055498</v>
      </c>
    </row>
    <row r="21" spans="1:6" x14ac:dyDescent="0.25">
      <c r="A21" t="s">
        <v>12</v>
      </c>
      <c r="B21">
        <v>2</v>
      </c>
      <c r="C21">
        <v>2537836925.375</v>
      </c>
      <c r="D21">
        <v>2224002299.166667</v>
      </c>
      <c r="E21">
        <v>3018745969.166667</v>
      </c>
      <c r="F21">
        <v>234496235.3219403</v>
      </c>
    </row>
    <row r="22" spans="1:6" x14ac:dyDescent="0.25">
      <c r="A22" t="s">
        <v>12</v>
      </c>
      <c r="B22">
        <v>3</v>
      </c>
      <c r="C22">
        <v>18017940581.958328</v>
      </c>
      <c r="D22">
        <v>14843984318.33333</v>
      </c>
      <c r="E22">
        <v>22385740154.166672</v>
      </c>
      <c r="F22">
        <v>1672779872.420717</v>
      </c>
    </row>
    <row r="23" spans="1:6" ht="15" customHeight="1" x14ac:dyDescent="0.25">
      <c r="A23" s="1" t="s">
        <v>13</v>
      </c>
      <c r="B23">
        <v>1</v>
      </c>
      <c r="C23">
        <v>1464728385.541667</v>
      </c>
      <c r="D23">
        <v>1269843957.5</v>
      </c>
      <c r="E23">
        <v>1901705969.166667</v>
      </c>
      <c r="F23">
        <v>154479647.39889041</v>
      </c>
    </row>
    <row r="24" spans="1:6" x14ac:dyDescent="0.25">
      <c r="A24" t="s">
        <v>13</v>
      </c>
      <c r="B24">
        <v>2</v>
      </c>
      <c r="C24">
        <v>2395227424.625</v>
      </c>
      <c r="D24">
        <v>1848721403.333333</v>
      </c>
      <c r="E24">
        <v>2948616485</v>
      </c>
      <c r="F24">
        <v>342028263.19620228</v>
      </c>
    </row>
    <row r="25" spans="1:6" x14ac:dyDescent="0.25">
      <c r="A25" t="s">
        <v>13</v>
      </c>
      <c r="B25">
        <v>3</v>
      </c>
      <c r="C25">
        <v>17795255116.416672</v>
      </c>
      <c r="D25">
        <v>10553396095.83333</v>
      </c>
      <c r="E25">
        <v>27550428463.33334</v>
      </c>
      <c r="F25">
        <v>4052121828.5805378</v>
      </c>
    </row>
    <row r="28" spans="1:6" ht="15" customHeight="1" x14ac:dyDescent="0.25">
      <c r="A28" s="4" t="s">
        <v>14</v>
      </c>
    </row>
    <row r="29" spans="1:6" x14ac:dyDescent="0.25">
      <c r="A29" t="s">
        <v>6</v>
      </c>
      <c r="C29">
        <v>4657342626.1805553</v>
      </c>
      <c r="D29">
        <v>1364930185</v>
      </c>
      <c r="E29">
        <v>11470239319.16667</v>
      </c>
      <c r="F29">
        <v>4065714367.4963198</v>
      </c>
    </row>
    <row r="30" spans="1:6" x14ac:dyDescent="0.25">
      <c r="A30" t="s">
        <v>7</v>
      </c>
      <c r="C30">
        <v>4207028754.958333</v>
      </c>
      <c r="D30">
        <v>1209615181.666667</v>
      </c>
      <c r="E30">
        <v>12039816968.33333</v>
      </c>
      <c r="F30">
        <v>3696099813.22436</v>
      </c>
    </row>
    <row r="31" spans="1:6" ht="15" customHeight="1" x14ac:dyDescent="0.25">
      <c r="A31" s="1" t="s">
        <v>8</v>
      </c>
      <c r="C31">
        <v>6373695232.5555553</v>
      </c>
      <c r="D31">
        <v>1451283575.833333</v>
      </c>
      <c r="E31">
        <v>15662390649.16667</v>
      </c>
      <c r="F31">
        <v>6572017441.7555094</v>
      </c>
    </row>
    <row r="32" spans="1:6" x14ac:dyDescent="0.25">
      <c r="A32" t="s">
        <v>9</v>
      </c>
      <c r="C32">
        <v>7478714518.8611116</v>
      </c>
      <c r="D32">
        <v>1276383222.5</v>
      </c>
      <c r="E32">
        <v>31857540200.833328</v>
      </c>
      <c r="F32">
        <v>8218184700.134613</v>
      </c>
    </row>
    <row r="33" spans="1:6" x14ac:dyDescent="0.25">
      <c r="A33" t="s">
        <v>10</v>
      </c>
      <c r="C33">
        <v>6343927292.208333</v>
      </c>
      <c r="D33">
        <v>1387212907.5</v>
      </c>
      <c r="E33">
        <v>16233285633.33333</v>
      </c>
      <c r="F33">
        <v>6398505858.2417946</v>
      </c>
    </row>
    <row r="34" spans="1:6" x14ac:dyDescent="0.25">
      <c r="A34" t="s">
        <v>11</v>
      </c>
      <c r="C34">
        <v>7255390090.1111116</v>
      </c>
      <c r="D34">
        <v>1276298062.5</v>
      </c>
      <c r="E34">
        <v>25142343888.333328</v>
      </c>
      <c r="F34">
        <v>7592968913.6215448</v>
      </c>
    </row>
    <row r="35" spans="1:6" ht="15" customHeight="1" x14ac:dyDescent="0.25">
      <c r="A35" s="1" t="s">
        <v>12</v>
      </c>
      <c r="C35">
        <v>7346667541.3055553</v>
      </c>
      <c r="D35">
        <v>1414816890</v>
      </c>
      <c r="E35">
        <v>22385740154.166672</v>
      </c>
      <c r="F35">
        <v>7620716463.1195555</v>
      </c>
    </row>
    <row r="36" spans="1:6" ht="15" customHeight="1" x14ac:dyDescent="0.25">
      <c r="A36" s="1" t="s">
        <v>13</v>
      </c>
      <c r="C36">
        <v>7218403642.1944447</v>
      </c>
      <c r="D36">
        <v>1269843957.5</v>
      </c>
      <c r="E36">
        <v>27550428463.33334</v>
      </c>
      <c r="F36">
        <v>7848527112.3620625</v>
      </c>
    </row>
    <row r="39" spans="1:6" ht="15" customHeight="1" x14ac:dyDescent="0.25">
      <c r="A39" s="4" t="s">
        <v>15</v>
      </c>
    </row>
    <row r="40" spans="1:6" x14ac:dyDescent="0.25">
      <c r="A40" t="s">
        <v>16</v>
      </c>
      <c r="B40">
        <v>1</v>
      </c>
      <c r="C40">
        <v>2</v>
      </c>
      <c r="D40">
        <v>3</v>
      </c>
    </row>
    <row r="41" spans="1:6" x14ac:dyDescent="0.25">
      <c r="A41" t="s">
        <v>6</v>
      </c>
      <c r="B41">
        <v>1463027414.75</v>
      </c>
      <c r="C41">
        <v>2132749140.125</v>
      </c>
      <c r="D41">
        <v>10376251323.66667</v>
      </c>
    </row>
    <row r="42" spans="1:6" x14ac:dyDescent="0.25">
      <c r="A42" t="s">
        <v>7</v>
      </c>
      <c r="B42">
        <v>1316005934.791667</v>
      </c>
      <c r="C42">
        <v>1917878371.416667</v>
      </c>
      <c r="D42">
        <v>9387201958.666666</v>
      </c>
    </row>
    <row r="43" spans="1:6" ht="15" customHeight="1" x14ac:dyDescent="0.25">
      <c r="A43" s="1" t="s">
        <v>8</v>
      </c>
      <c r="B43">
        <v>1451296667.833333</v>
      </c>
      <c r="C43">
        <v>2007404920.666667</v>
      </c>
      <c r="D43">
        <v>15662384109.16667</v>
      </c>
    </row>
    <row r="44" spans="1:6" x14ac:dyDescent="0.25">
      <c r="A44" t="s">
        <v>9</v>
      </c>
      <c r="B44">
        <v>1561975960.125</v>
      </c>
      <c r="C44">
        <v>2457801611.041667</v>
      </c>
      <c r="D44">
        <v>18416365985.416672</v>
      </c>
    </row>
    <row r="45" spans="1:6" x14ac:dyDescent="0.25">
      <c r="A45" t="s">
        <v>10</v>
      </c>
      <c r="B45">
        <v>1421213228.333333</v>
      </c>
      <c r="C45">
        <v>2239990391.708333</v>
      </c>
      <c r="D45">
        <v>15370578256.58333</v>
      </c>
    </row>
    <row r="46" spans="1:6" x14ac:dyDescent="0.25">
      <c r="A46" t="s">
        <v>11</v>
      </c>
      <c r="B46">
        <v>1540867472.041667</v>
      </c>
      <c r="C46">
        <v>2606285532.333333</v>
      </c>
      <c r="D46">
        <v>17619017265.95834</v>
      </c>
    </row>
    <row r="47" spans="1:6" ht="15" customHeight="1" x14ac:dyDescent="0.25">
      <c r="A47" s="1" t="s">
        <v>12</v>
      </c>
      <c r="B47">
        <v>1484225116.583333</v>
      </c>
      <c r="C47">
        <v>2537836925.375</v>
      </c>
      <c r="D47">
        <v>18017940581.958328</v>
      </c>
    </row>
    <row r="48" spans="1:6" x14ac:dyDescent="0.25">
      <c r="A48" t="s">
        <v>13</v>
      </c>
      <c r="B48">
        <v>1464728385.541667</v>
      </c>
      <c r="C48">
        <v>2395227424.625</v>
      </c>
      <c r="D48">
        <v>17795255116.416672</v>
      </c>
    </row>
    <row r="51" spans="1:61" ht="15" customHeight="1" x14ac:dyDescent="0.25">
      <c r="A51" s="4" t="s">
        <v>17</v>
      </c>
    </row>
    <row r="52" spans="1:61" x14ac:dyDescent="0.25">
      <c r="A52" t="s">
        <v>16</v>
      </c>
      <c r="B52">
        <v>1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2</v>
      </c>
      <c r="W52">
        <v>2</v>
      </c>
      <c r="X52">
        <v>2</v>
      </c>
      <c r="Y52">
        <v>2</v>
      </c>
      <c r="Z52">
        <v>2</v>
      </c>
      <c r="AA52">
        <v>2</v>
      </c>
      <c r="AB52">
        <v>2</v>
      </c>
      <c r="AC52">
        <v>2</v>
      </c>
      <c r="AD52">
        <v>2</v>
      </c>
      <c r="AE52">
        <v>2</v>
      </c>
      <c r="AF52">
        <v>2</v>
      </c>
      <c r="AG52">
        <v>2</v>
      </c>
      <c r="AH52">
        <v>2</v>
      </c>
      <c r="AI52">
        <v>2</v>
      </c>
      <c r="AJ52">
        <v>2</v>
      </c>
      <c r="AK52">
        <v>2</v>
      </c>
      <c r="AL52">
        <v>2</v>
      </c>
      <c r="AM52">
        <v>2</v>
      </c>
      <c r="AN52">
        <v>2</v>
      </c>
      <c r="AO52">
        <v>2</v>
      </c>
      <c r="AP52">
        <v>3</v>
      </c>
      <c r="AQ52">
        <v>3</v>
      </c>
      <c r="AR52">
        <v>3</v>
      </c>
      <c r="AS52">
        <v>3</v>
      </c>
      <c r="AT52">
        <v>3</v>
      </c>
      <c r="AU52">
        <v>3</v>
      </c>
      <c r="AV52">
        <v>3</v>
      </c>
      <c r="AW52">
        <v>3</v>
      </c>
      <c r="AX52">
        <v>3</v>
      </c>
      <c r="AY52">
        <v>3</v>
      </c>
      <c r="AZ52">
        <v>3</v>
      </c>
      <c r="BA52">
        <v>3</v>
      </c>
      <c r="BB52">
        <v>3</v>
      </c>
      <c r="BC52">
        <v>3</v>
      </c>
      <c r="BD52">
        <v>3</v>
      </c>
      <c r="BE52">
        <v>3</v>
      </c>
      <c r="BF52">
        <v>3</v>
      </c>
      <c r="BG52">
        <v>3</v>
      </c>
      <c r="BH52">
        <v>3</v>
      </c>
      <c r="BI52">
        <v>3</v>
      </c>
    </row>
    <row r="53" spans="1:61" x14ac:dyDescent="0.25">
      <c r="A53" t="s">
        <v>6</v>
      </c>
      <c r="B53">
        <v>1394775005.833333</v>
      </c>
      <c r="C53">
        <v>1430960907.5</v>
      </c>
      <c r="D53">
        <v>1465855065</v>
      </c>
      <c r="E53">
        <v>1446302836.666667</v>
      </c>
      <c r="F53">
        <v>1563380510.833333</v>
      </c>
      <c r="G53">
        <v>1469960465.833333</v>
      </c>
      <c r="H53">
        <v>1472819285.833333</v>
      </c>
      <c r="I53">
        <v>1473277214.166667</v>
      </c>
      <c r="J53">
        <v>1516571008.333333</v>
      </c>
      <c r="K53">
        <v>1364930185</v>
      </c>
      <c r="L53">
        <v>1503017140</v>
      </c>
      <c r="M53">
        <v>1461798067.5</v>
      </c>
      <c r="N53">
        <v>1460841114.166667</v>
      </c>
      <c r="O53">
        <v>1435881743.333333</v>
      </c>
      <c r="P53">
        <v>1504064225.833333</v>
      </c>
      <c r="Q53">
        <v>1407227469.166667</v>
      </c>
      <c r="R53">
        <v>1465963083.333333</v>
      </c>
      <c r="S53">
        <v>1473233905</v>
      </c>
      <c r="T53">
        <v>1507832651.666667</v>
      </c>
      <c r="U53">
        <v>1441856410</v>
      </c>
      <c r="V53">
        <v>2280537251.666667</v>
      </c>
      <c r="W53">
        <v>2131951092.5</v>
      </c>
      <c r="X53">
        <v>2077937441.666667</v>
      </c>
      <c r="Y53">
        <v>2252580102.5</v>
      </c>
      <c r="Z53">
        <v>2057844230</v>
      </c>
      <c r="AA53">
        <v>2272687875</v>
      </c>
      <c r="AB53">
        <v>2125464907.5</v>
      </c>
      <c r="AC53">
        <v>2115020773.333333</v>
      </c>
      <c r="AD53">
        <v>2239462295</v>
      </c>
      <c r="AE53">
        <v>2331685302.5</v>
      </c>
      <c r="AF53">
        <v>2051059523.333333</v>
      </c>
      <c r="AG53">
        <v>2093089645</v>
      </c>
      <c r="AH53">
        <v>2059275790.833333</v>
      </c>
      <c r="AI53">
        <v>2182819142.5</v>
      </c>
      <c r="AJ53">
        <v>1931811420</v>
      </c>
      <c r="AK53">
        <v>2129682465</v>
      </c>
      <c r="AL53">
        <v>2050958460.833333</v>
      </c>
      <c r="AM53">
        <v>2179877363.333333</v>
      </c>
      <c r="AN53">
        <v>2080666252.5</v>
      </c>
      <c r="AO53">
        <v>2010571467.5</v>
      </c>
      <c r="AP53">
        <v>10206509013.33333</v>
      </c>
      <c r="AQ53">
        <v>10654745930.83333</v>
      </c>
      <c r="AR53">
        <v>9553736380.833334</v>
      </c>
      <c r="AS53">
        <v>10456039582.5</v>
      </c>
      <c r="AT53">
        <v>10517535473.33333</v>
      </c>
      <c r="AU53">
        <v>10844203043.33333</v>
      </c>
      <c r="AV53">
        <v>10464952705.83333</v>
      </c>
      <c r="AW53">
        <v>9947851520</v>
      </c>
      <c r="AX53">
        <v>10016107874.16667</v>
      </c>
      <c r="AY53">
        <v>10487760823.33333</v>
      </c>
      <c r="AZ53">
        <v>10146915935</v>
      </c>
      <c r="BA53">
        <v>11147510474.16667</v>
      </c>
      <c r="BB53">
        <v>10920035420.83333</v>
      </c>
      <c r="BC53">
        <v>10768150250.83333</v>
      </c>
      <c r="BD53">
        <v>9622594409.166666</v>
      </c>
      <c r="BE53">
        <v>11470239319.16667</v>
      </c>
      <c r="BF53">
        <v>9138610592.5</v>
      </c>
      <c r="BG53">
        <v>10075846385.83333</v>
      </c>
      <c r="BH53">
        <v>10566757940</v>
      </c>
      <c r="BI53">
        <v>10518923398.33333</v>
      </c>
    </row>
    <row r="54" spans="1:61" x14ac:dyDescent="0.25">
      <c r="A54" t="s">
        <v>7</v>
      </c>
      <c r="B54">
        <v>1312500995</v>
      </c>
      <c r="C54">
        <v>1258727016.666667</v>
      </c>
      <c r="D54">
        <v>1359021397.5</v>
      </c>
      <c r="E54">
        <v>1335137489.166667</v>
      </c>
      <c r="F54">
        <v>1280615345.833333</v>
      </c>
      <c r="G54">
        <v>1375688134.166667</v>
      </c>
      <c r="H54">
        <v>1329630990</v>
      </c>
      <c r="I54">
        <v>1299464226.666667</v>
      </c>
      <c r="J54">
        <v>1271914089.166667</v>
      </c>
      <c r="K54">
        <v>1369896763.333333</v>
      </c>
      <c r="L54">
        <v>1369857585.833333</v>
      </c>
      <c r="M54">
        <v>1315266588.333333</v>
      </c>
      <c r="N54">
        <v>1209615181.666667</v>
      </c>
      <c r="O54">
        <v>1297166641.666667</v>
      </c>
      <c r="P54">
        <v>1323082016.666667</v>
      </c>
      <c r="Q54">
        <v>1297185473.333333</v>
      </c>
      <c r="R54">
        <v>1235908476.666667</v>
      </c>
      <c r="S54">
        <v>1412483853.333333</v>
      </c>
      <c r="T54">
        <v>1305147825.833333</v>
      </c>
      <c r="U54">
        <v>1361808605</v>
      </c>
      <c r="V54">
        <v>1977367011.666667</v>
      </c>
      <c r="W54">
        <v>1845045150.833333</v>
      </c>
      <c r="X54">
        <v>1937622687.5</v>
      </c>
      <c r="Y54">
        <v>1888215960.833333</v>
      </c>
      <c r="Z54">
        <v>2173850501.666667</v>
      </c>
      <c r="AA54">
        <v>1948817946.666667</v>
      </c>
      <c r="AB54">
        <v>1789595762.5</v>
      </c>
      <c r="AC54">
        <v>1946932719.166667</v>
      </c>
      <c r="AD54">
        <v>1927620460.833333</v>
      </c>
      <c r="AE54">
        <v>1855091366.666667</v>
      </c>
      <c r="AF54">
        <v>1922639291.666667</v>
      </c>
      <c r="AG54">
        <v>1835340865.833333</v>
      </c>
      <c r="AH54">
        <v>1880581206.666667</v>
      </c>
      <c r="AI54">
        <v>1911321167.5</v>
      </c>
      <c r="AJ54">
        <v>1977869730</v>
      </c>
      <c r="AK54">
        <v>1899279496.666667</v>
      </c>
      <c r="AL54">
        <v>1860091271.666667</v>
      </c>
      <c r="AM54">
        <v>1924585725</v>
      </c>
      <c r="AN54">
        <v>1967983874.166667</v>
      </c>
      <c r="AO54">
        <v>1887715230.833333</v>
      </c>
      <c r="AP54">
        <v>9151099352.5</v>
      </c>
      <c r="AQ54">
        <v>9095476427.5</v>
      </c>
      <c r="AR54">
        <v>9581264706.666666</v>
      </c>
      <c r="AS54">
        <v>8921054410.8333321</v>
      </c>
      <c r="AT54">
        <v>9032179632.5</v>
      </c>
      <c r="AU54">
        <v>9066032815</v>
      </c>
      <c r="AV54">
        <v>9619307852.5</v>
      </c>
      <c r="AW54">
        <v>8975708471.666666</v>
      </c>
      <c r="AX54">
        <v>12039816968.33333</v>
      </c>
      <c r="AY54">
        <v>9049534034.166666</v>
      </c>
      <c r="AZ54">
        <v>9826596554.1666679</v>
      </c>
      <c r="BA54">
        <v>9543834854.1666679</v>
      </c>
      <c r="BB54">
        <v>10275812913.33333</v>
      </c>
      <c r="BC54">
        <v>9539903423.3333321</v>
      </c>
      <c r="BD54">
        <v>8958709665</v>
      </c>
      <c r="BE54">
        <v>8445092785.833334</v>
      </c>
      <c r="BF54">
        <v>9216904659.166666</v>
      </c>
      <c r="BG54">
        <v>8537737686.666666</v>
      </c>
      <c r="BH54">
        <v>9441848036.666666</v>
      </c>
      <c r="BI54">
        <v>9426123923.3333321</v>
      </c>
    </row>
    <row r="55" spans="1:61" x14ac:dyDescent="0.25">
      <c r="A55" t="s">
        <v>8</v>
      </c>
      <c r="B55">
        <v>1451303495.833333</v>
      </c>
      <c r="C55">
        <v>1451288855.833333</v>
      </c>
      <c r="D55">
        <v>1451297495.833333</v>
      </c>
      <c r="E55">
        <v>1451299415.833333</v>
      </c>
      <c r="F55">
        <v>1451292695.833333</v>
      </c>
      <c r="G55">
        <v>1451301335.833333</v>
      </c>
      <c r="H55">
        <v>1451297495.833333</v>
      </c>
      <c r="I55">
        <v>1451283575.833333</v>
      </c>
      <c r="J55">
        <v>1451299175.833333</v>
      </c>
      <c r="K55">
        <v>1451301575.833333</v>
      </c>
      <c r="L55">
        <v>1451294855.833333</v>
      </c>
      <c r="M55">
        <v>1451299895.833333</v>
      </c>
      <c r="N55">
        <v>1451299175.833333</v>
      </c>
      <c r="O55">
        <v>1451293415.833333</v>
      </c>
      <c r="P55">
        <v>1451298935.833333</v>
      </c>
      <c r="Q55">
        <v>1451305175.833333</v>
      </c>
      <c r="R55">
        <v>1451297975.833333</v>
      </c>
      <c r="S55">
        <v>1451287895.833333</v>
      </c>
      <c r="T55">
        <v>1451298215.833333</v>
      </c>
      <c r="U55">
        <v>1451292695.833333</v>
      </c>
      <c r="V55">
        <v>2007405856.666667</v>
      </c>
      <c r="W55">
        <v>2007398176.666667</v>
      </c>
      <c r="X55">
        <v>2007407296.666667</v>
      </c>
      <c r="Y55">
        <v>2007412816.666667</v>
      </c>
      <c r="Z55">
        <v>2007404176.666667</v>
      </c>
      <c r="AA55">
        <v>2007413056.666667</v>
      </c>
      <c r="AB55">
        <v>2007410896.666667</v>
      </c>
      <c r="AC55">
        <v>2007403936.666667</v>
      </c>
      <c r="AD55">
        <v>2007398896.666667</v>
      </c>
      <c r="AE55">
        <v>2007403216.666667</v>
      </c>
      <c r="AF55">
        <v>2007402736.666667</v>
      </c>
      <c r="AG55">
        <v>2007411616.666667</v>
      </c>
      <c r="AH55">
        <v>2007404176.666667</v>
      </c>
      <c r="AI55">
        <v>2007401536.666667</v>
      </c>
      <c r="AJ55">
        <v>2007399616.666667</v>
      </c>
      <c r="AK55">
        <v>2007402976.666667</v>
      </c>
      <c r="AL55">
        <v>2007402496.666667</v>
      </c>
      <c r="AM55">
        <v>2007406336.666667</v>
      </c>
      <c r="AN55">
        <v>2007405616.666667</v>
      </c>
      <c r="AO55">
        <v>2007402976.666667</v>
      </c>
      <c r="AP55">
        <v>15662385129.16667</v>
      </c>
      <c r="AQ55">
        <v>15662373129.16667</v>
      </c>
      <c r="AR55">
        <v>15662382729.16667</v>
      </c>
      <c r="AS55">
        <v>15662389449.16667</v>
      </c>
      <c r="AT55">
        <v>15662380809.16667</v>
      </c>
      <c r="AU55">
        <v>15662384889.16667</v>
      </c>
      <c r="AV55">
        <v>15662387289.16667</v>
      </c>
      <c r="AW55">
        <v>15662384409.16667</v>
      </c>
      <c r="AX55">
        <v>15662381529.16667</v>
      </c>
      <c r="AY55">
        <v>15662388249.16667</v>
      </c>
      <c r="AZ55">
        <v>15662382969.16667</v>
      </c>
      <c r="BA55">
        <v>15662377209.16667</v>
      </c>
      <c r="BB55">
        <v>15662387769.16667</v>
      </c>
      <c r="BC55">
        <v>15662386089.16667</v>
      </c>
      <c r="BD55">
        <v>15662380089.16667</v>
      </c>
      <c r="BE55">
        <v>15662390649.16667</v>
      </c>
      <c r="BF55">
        <v>15662385369.16667</v>
      </c>
      <c r="BG55">
        <v>15662382969.16667</v>
      </c>
      <c r="BH55">
        <v>15662385369.16667</v>
      </c>
      <c r="BI55">
        <v>15662386089.16667</v>
      </c>
    </row>
    <row r="56" spans="1:61" x14ac:dyDescent="0.25">
      <c r="A56" t="s">
        <v>9</v>
      </c>
      <c r="B56">
        <v>1922460699.166667</v>
      </c>
      <c r="C56">
        <v>2015090986.666667</v>
      </c>
      <c r="D56">
        <v>1276383222.5</v>
      </c>
      <c r="E56">
        <v>1428066634.166667</v>
      </c>
      <c r="F56">
        <v>1590531972.5</v>
      </c>
      <c r="G56">
        <v>1316966533.333333</v>
      </c>
      <c r="H56">
        <v>1327613410</v>
      </c>
      <c r="I56">
        <v>1530632318.333333</v>
      </c>
      <c r="J56">
        <v>1412699307.5</v>
      </c>
      <c r="K56">
        <v>1585457110</v>
      </c>
      <c r="L56">
        <v>1396328480.833333</v>
      </c>
      <c r="M56">
        <v>1331604537.5</v>
      </c>
      <c r="N56">
        <v>1481791182.5</v>
      </c>
      <c r="O56">
        <v>1463795879.166667</v>
      </c>
      <c r="P56">
        <v>1389628663.333333</v>
      </c>
      <c r="Q56">
        <v>2038553091.666667</v>
      </c>
      <c r="R56">
        <v>1750703511.666667</v>
      </c>
      <c r="S56">
        <v>1484192500</v>
      </c>
      <c r="T56">
        <v>1755756864.166667</v>
      </c>
      <c r="U56">
        <v>1741262297.5</v>
      </c>
      <c r="V56">
        <v>2462068118.333333</v>
      </c>
      <c r="W56">
        <v>2673608970.833333</v>
      </c>
      <c r="X56">
        <v>1929633971.666667</v>
      </c>
      <c r="Y56">
        <v>3402886615</v>
      </c>
      <c r="Z56">
        <v>2285792108.333333</v>
      </c>
      <c r="AA56">
        <v>2455980622.5</v>
      </c>
      <c r="AB56">
        <v>1961173764.166667</v>
      </c>
      <c r="AC56">
        <v>2063190995.833333</v>
      </c>
      <c r="AD56">
        <v>3085821724.166667</v>
      </c>
      <c r="AE56">
        <v>2312231767.5</v>
      </c>
      <c r="AF56">
        <v>2490548875.833333</v>
      </c>
      <c r="AG56">
        <v>3749373777.5</v>
      </c>
      <c r="AH56">
        <v>2478784605</v>
      </c>
      <c r="AI56">
        <v>2074288784.166667</v>
      </c>
      <c r="AJ56">
        <v>1767824482.5</v>
      </c>
      <c r="AK56">
        <v>2206478766.666667</v>
      </c>
      <c r="AL56">
        <v>2098945769.166667</v>
      </c>
      <c r="AM56">
        <v>2073314045</v>
      </c>
      <c r="AN56">
        <v>2558286586.666667</v>
      </c>
      <c r="AO56">
        <v>3025797870</v>
      </c>
      <c r="AP56">
        <v>11319108172.5</v>
      </c>
      <c r="AQ56">
        <v>19274281310</v>
      </c>
      <c r="AR56">
        <v>21180937472.5</v>
      </c>
      <c r="AS56">
        <v>20441220135.83334</v>
      </c>
      <c r="AT56">
        <v>18026797883.33334</v>
      </c>
      <c r="AU56">
        <v>15843945059.16667</v>
      </c>
      <c r="AV56">
        <v>25485127859.16666</v>
      </c>
      <c r="AW56">
        <v>17034298873.33334</v>
      </c>
      <c r="AX56">
        <v>14907385460</v>
      </c>
      <c r="AY56">
        <v>17975480202.5</v>
      </c>
      <c r="AZ56">
        <v>22216977612.5</v>
      </c>
      <c r="BA56">
        <v>31857540200.833328</v>
      </c>
      <c r="BB56">
        <v>10558009858.33333</v>
      </c>
      <c r="BC56">
        <v>18862591495</v>
      </c>
      <c r="BD56">
        <v>19444534682.5</v>
      </c>
      <c r="BE56">
        <v>15225889238.33333</v>
      </c>
      <c r="BF56">
        <v>20889153635.83334</v>
      </c>
      <c r="BG56">
        <v>13105165097.5</v>
      </c>
      <c r="BH56">
        <v>15069494452.5</v>
      </c>
      <c r="BI56">
        <v>19609381006.666672</v>
      </c>
    </row>
    <row r="57" spans="1:61" x14ac:dyDescent="0.25">
      <c r="A57" t="s">
        <v>10</v>
      </c>
      <c r="B57">
        <v>1387212907.5</v>
      </c>
      <c r="C57">
        <v>1414390556.666667</v>
      </c>
      <c r="D57">
        <v>1411054326.666667</v>
      </c>
      <c r="E57">
        <v>1419266240</v>
      </c>
      <c r="F57">
        <v>1405663474.166667</v>
      </c>
      <c r="G57">
        <v>1422258040</v>
      </c>
      <c r="H57">
        <v>1451825133.333333</v>
      </c>
      <c r="I57">
        <v>1421338072.5</v>
      </c>
      <c r="J57">
        <v>1420435983.333333</v>
      </c>
      <c r="K57">
        <v>1414265148.333333</v>
      </c>
      <c r="L57">
        <v>1410511752.5</v>
      </c>
      <c r="M57">
        <v>1456847395</v>
      </c>
      <c r="N57">
        <v>1448943298.333333</v>
      </c>
      <c r="O57">
        <v>1416719439.166667</v>
      </c>
      <c r="P57">
        <v>1415787282.5</v>
      </c>
      <c r="Q57">
        <v>1416392192.5</v>
      </c>
      <c r="R57">
        <v>1415779720</v>
      </c>
      <c r="S57">
        <v>1414526578.333333</v>
      </c>
      <c r="T57">
        <v>1448284477.5</v>
      </c>
      <c r="U57">
        <v>1412762548.333333</v>
      </c>
      <c r="V57">
        <v>2242317430</v>
      </c>
      <c r="W57">
        <v>2197885951.666667</v>
      </c>
      <c r="X57">
        <v>2209069634.166667</v>
      </c>
      <c r="Y57">
        <v>2256777592.5</v>
      </c>
      <c r="Z57">
        <v>2225731955.833333</v>
      </c>
      <c r="AA57">
        <v>2211243960</v>
      </c>
      <c r="AB57">
        <v>2275407989.166667</v>
      </c>
      <c r="AC57">
        <v>2273417550.833333</v>
      </c>
      <c r="AD57">
        <v>2238290800.833333</v>
      </c>
      <c r="AE57">
        <v>2207796967.5</v>
      </c>
      <c r="AF57">
        <v>2237387241.666667</v>
      </c>
      <c r="AG57">
        <v>2211811428.333333</v>
      </c>
      <c r="AH57">
        <v>2232705529.166667</v>
      </c>
      <c r="AI57">
        <v>2240651769.166667</v>
      </c>
      <c r="AJ57">
        <v>2299666676.666667</v>
      </c>
      <c r="AK57">
        <v>2256493800.833333</v>
      </c>
      <c r="AL57">
        <v>2371686610</v>
      </c>
      <c r="AM57">
        <v>2179097137.5</v>
      </c>
      <c r="AN57">
        <v>2131694874.166667</v>
      </c>
      <c r="AO57">
        <v>2300672934.166667</v>
      </c>
      <c r="AP57">
        <v>15609111602.5</v>
      </c>
      <c r="AQ57">
        <v>15334066432.5</v>
      </c>
      <c r="AR57">
        <v>16233285633.33333</v>
      </c>
      <c r="AS57">
        <v>15251815652.5</v>
      </c>
      <c r="AT57">
        <v>15124552540</v>
      </c>
      <c r="AU57">
        <v>14524414567.5</v>
      </c>
      <c r="AV57">
        <v>16012207630.83333</v>
      </c>
      <c r="AW57">
        <v>15404697585</v>
      </c>
      <c r="AX57">
        <v>15567385704.16667</v>
      </c>
      <c r="AY57">
        <v>15935844690</v>
      </c>
      <c r="AZ57">
        <v>14740875334.16667</v>
      </c>
      <c r="BA57">
        <v>15835759433.33333</v>
      </c>
      <c r="BB57">
        <v>15659965354.16667</v>
      </c>
      <c r="BC57">
        <v>15086350199.16667</v>
      </c>
      <c r="BD57">
        <v>15608979828.33333</v>
      </c>
      <c r="BE57">
        <v>14651028526.66667</v>
      </c>
      <c r="BF57">
        <v>14574865431.66667</v>
      </c>
      <c r="BG57">
        <v>16198329030.83333</v>
      </c>
      <c r="BH57">
        <v>15111665825</v>
      </c>
      <c r="BI57">
        <v>14946364130</v>
      </c>
    </row>
    <row r="58" spans="1:61" x14ac:dyDescent="0.25">
      <c r="A58" t="s">
        <v>11</v>
      </c>
      <c r="B58">
        <v>1431095486.666667</v>
      </c>
      <c r="C58">
        <v>1348438365</v>
      </c>
      <c r="D58">
        <v>1361625371.666667</v>
      </c>
      <c r="E58">
        <v>1348522455.833333</v>
      </c>
      <c r="F58">
        <v>1335505650.833333</v>
      </c>
      <c r="G58">
        <v>1389263353.333333</v>
      </c>
      <c r="H58">
        <v>1353475819.166667</v>
      </c>
      <c r="I58">
        <v>1398353079.166667</v>
      </c>
      <c r="J58">
        <v>1484370239.166667</v>
      </c>
      <c r="K58">
        <v>1998237600</v>
      </c>
      <c r="L58">
        <v>1968609203.333333</v>
      </c>
      <c r="M58">
        <v>2580524661.666667</v>
      </c>
      <c r="N58">
        <v>1352097648.333333</v>
      </c>
      <c r="O58">
        <v>1276298062.5</v>
      </c>
      <c r="P58">
        <v>1522397820</v>
      </c>
      <c r="Q58">
        <v>1447178166.666667</v>
      </c>
      <c r="R58">
        <v>1429431565.833333</v>
      </c>
      <c r="S58">
        <v>2049248645</v>
      </c>
      <c r="T58">
        <v>1308372561.666667</v>
      </c>
      <c r="U58">
        <v>1434303685</v>
      </c>
      <c r="V58">
        <v>2102678914.166667</v>
      </c>
      <c r="W58">
        <v>2601007156.666667</v>
      </c>
      <c r="X58">
        <v>3392497557.5</v>
      </c>
      <c r="Y58">
        <v>3548360510.833333</v>
      </c>
      <c r="Z58">
        <v>3349949595</v>
      </c>
      <c r="AA58">
        <v>1956839963.333333</v>
      </c>
      <c r="AB58">
        <v>2275888828.333333</v>
      </c>
      <c r="AC58">
        <v>1823524326.666667</v>
      </c>
      <c r="AD58">
        <v>2181741783.333333</v>
      </c>
      <c r="AE58">
        <v>2102182688.333333</v>
      </c>
      <c r="AF58">
        <v>3121643632.5</v>
      </c>
      <c r="AG58">
        <v>2651395555</v>
      </c>
      <c r="AH58">
        <v>2436297834.166667</v>
      </c>
      <c r="AI58">
        <v>2946230030</v>
      </c>
      <c r="AJ58">
        <v>2503500803.333333</v>
      </c>
      <c r="AK58">
        <v>2506125014.166667</v>
      </c>
      <c r="AL58">
        <v>2123390278.333333</v>
      </c>
      <c r="AM58">
        <v>3119184485</v>
      </c>
      <c r="AN58">
        <v>2379398021.666667</v>
      </c>
      <c r="AO58">
        <v>3003873668.333333</v>
      </c>
      <c r="AP58">
        <v>21176157400.83334</v>
      </c>
      <c r="AQ58">
        <v>11576100331.66667</v>
      </c>
      <c r="AR58">
        <v>25142343888.333328</v>
      </c>
      <c r="AS58">
        <v>20267796403.33334</v>
      </c>
      <c r="AT58">
        <v>19975051617.5</v>
      </c>
      <c r="AU58">
        <v>19554108720.83334</v>
      </c>
      <c r="AV58">
        <v>14925144269.16667</v>
      </c>
      <c r="AW58">
        <v>23289725466.666672</v>
      </c>
      <c r="AX58">
        <v>17743752065</v>
      </c>
      <c r="AY58">
        <v>18761839875</v>
      </c>
      <c r="AZ58">
        <v>14231855025</v>
      </c>
      <c r="BA58">
        <v>19637432463.333328</v>
      </c>
      <c r="BB58">
        <v>15658773651.66667</v>
      </c>
      <c r="BC58">
        <v>18237850840.833328</v>
      </c>
      <c r="BD58">
        <v>14892270023.33333</v>
      </c>
      <c r="BE58">
        <v>15604582100.83333</v>
      </c>
      <c r="BF58">
        <v>15336982870.83333</v>
      </c>
      <c r="BG58">
        <v>16587885531.66667</v>
      </c>
      <c r="BH58">
        <v>16166343105.83333</v>
      </c>
      <c r="BI58">
        <v>13614349667.5</v>
      </c>
    </row>
    <row r="59" spans="1:61" ht="15" customHeight="1" x14ac:dyDescent="0.25">
      <c r="A59" s="1" t="s">
        <v>12</v>
      </c>
      <c r="B59">
        <v>1551841175.833333</v>
      </c>
      <c r="C59">
        <v>1474434447.5</v>
      </c>
      <c r="D59">
        <v>1429242420.833333</v>
      </c>
      <c r="E59">
        <v>1468803297.5</v>
      </c>
      <c r="F59">
        <v>1520142560</v>
      </c>
      <c r="G59">
        <v>1509378240.833333</v>
      </c>
      <c r="H59">
        <v>1446545907.5</v>
      </c>
      <c r="I59">
        <v>1436378331.666667</v>
      </c>
      <c r="J59">
        <v>1481746205</v>
      </c>
      <c r="K59">
        <v>1514353266.666667</v>
      </c>
      <c r="L59">
        <v>1698296295.833333</v>
      </c>
      <c r="M59">
        <v>1437567006.666667</v>
      </c>
      <c r="N59">
        <v>1513009833.333333</v>
      </c>
      <c r="O59">
        <v>1436670912.5</v>
      </c>
      <c r="P59">
        <v>1476273740</v>
      </c>
      <c r="Q59">
        <v>1485217483.333333</v>
      </c>
      <c r="R59">
        <v>1442353428.333333</v>
      </c>
      <c r="S59">
        <v>1414816890</v>
      </c>
      <c r="T59">
        <v>1466872202.5</v>
      </c>
      <c r="U59">
        <v>1480558685.833333</v>
      </c>
      <c r="V59">
        <v>2668220145.833333</v>
      </c>
      <c r="W59">
        <v>2529649417.5</v>
      </c>
      <c r="X59">
        <v>2323602937.5</v>
      </c>
      <c r="Y59">
        <v>2568903560.833333</v>
      </c>
      <c r="Z59">
        <v>2462451975</v>
      </c>
      <c r="AA59">
        <v>2280010232.5</v>
      </c>
      <c r="AB59">
        <v>2275103976.666667</v>
      </c>
      <c r="AC59">
        <v>2490452948.333333</v>
      </c>
      <c r="AD59">
        <v>2640114620</v>
      </c>
      <c r="AE59">
        <v>2921847115.833333</v>
      </c>
      <c r="AF59">
        <v>2443203245</v>
      </c>
      <c r="AG59">
        <v>2224002299.166667</v>
      </c>
      <c r="AH59">
        <v>2232418583.333333</v>
      </c>
      <c r="AI59">
        <v>2934103719.166667</v>
      </c>
      <c r="AJ59">
        <v>2554913226.666667</v>
      </c>
      <c r="AK59">
        <v>2424962745.833333</v>
      </c>
      <c r="AL59">
        <v>2368428416.666667</v>
      </c>
      <c r="AM59">
        <v>2859893970</v>
      </c>
      <c r="AN59">
        <v>2535709402.5</v>
      </c>
      <c r="AO59">
        <v>3018745969.166667</v>
      </c>
      <c r="AP59">
        <v>17171571744.16667</v>
      </c>
      <c r="AQ59">
        <v>19933494320.83334</v>
      </c>
      <c r="AR59">
        <v>17275086300.833328</v>
      </c>
      <c r="AS59">
        <v>17947616455</v>
      </c>
      <c r="AT59">
        <v>16779725340</v>
      </c>
      <c r="AU59">
        <v>21096946345.833328</v>
      </c>
      <c r="AV59">
        <v>18180402180</v>
      </c>
      <c r="AW59">
        <v>17813987872.5</v>
      </c>
      <c r="AX59">
        <v>18145715941.666672</v>
      </c>
      <c r="AY59">
        <v>19506174745.83334</v>
      </c>
      <c r="AZ59">
        <v>14843984318.33333</v>
      </c>
      <c r="BA59">
        <v>22385740154.166672</v>
      </c>
      <c r="BB59">
        <v>17513551472.5</v>
      </c>
      <c r="BC59">
        <v>17773329269.166672</v>
      </c>
      <c r="BD59">
        <v>15759959806.66667</v>
      </c>
      <c r="BE59">
        <v>18677473118.33334</v>
      </c>
      <c r="BF59">
        <v>16546576111.66667</v>
      </c>
      <c r="BG59">
        <v>17340397569.166672</v>
      </c>
      <c r="BH59">
        <v>17740228500</v>
      </c>
      <c r="BI59">
        <v>17926850072.5</v>
      </c>
    </row>
    <row r="60" spans="1:61" x14ac:dyDescent="0.25">
      <c r="A60" t="s">
        <v>13</v>
      </c>
      <c r="B60">
        <v>1488176736.666667</v>
      </c>
      <c r="C60">
        <v>1380724527.5</v>
      </c>
      <c r="D60">
        <v>1440993328.333333</v>
      </c>
      <c r="E60">
        <v>1469994012.5</v>
      </c>
      <c r="F60">
        <v>1299276268.333333</v>
      </c>
      <c r="G60">
        <v>1360610239.166667</v>
      </c>
      <c r="H60">
        <v>1901705969.166667</v>
      </c>
      <c r="I60">
        <v>1370333100</v>
      </c>
      <c r="J60">
        <v>1478416942.5</v>
      </c>
      <c r="K60">
        <v>1412778880</v>
      </c>
      <c r="L60">
        <v>1376514233.333333</v>
      </c>
      <c r="M60">
        <v>1373310272.5</v>
      </c>
      <c r="N60">
        <v>1357373325.833333</v>
      </c>
      <c r="O60">
        <v>1735250355.833333</v>
      </c>
      <c r="P60">
        <v>1443832700.833333</v>
      </c>
      <c r="Q60">
        <v>1754901966.666667</v>
      </c>
      <c r="R60">
        <v>1436537935</v>
      </c>
      <c r="S60">
        <v>1515336969.166667</v>
      </c>
      <c r="T60">
        <v>1269843957.5</v>
      </c>
      <c r="U60">
        <v>1428655990</v>
      </c>
      <c r="V60">
        <v>2621890163.333333</v>
      </c>
      <c r="W60">
        <v>1848721403.333333</v>
      </c>
      <c r="X60">
        <v>2142523830</v>
      </c>
      <c r="Y60">
        <v>2445870030.833333</v>
      </c>
      <c r="Z60">
        <v>2542225237.5</v>
      </c>
      <c r="AA60">
        <v>2722278945.833333</v>
      </c>
      <c r="AB60">
        <v>2065869865.833333</v>
      </c>
      <c r="AC60">
        <v>2788496795.833333</v>
      </c>
      <c r="AD60">
        <v>2109512786.666667</v>
      </c>
      <c r="AE60">
        <v>2943647238.333333</v>
      </c>
      <c r="AF60">
        <v>1976838389.166667</v>
      </c>
      <c r="AG60">
        <v>2111679693.333333</v>
      </c>
      <c r="AH60">
        <v>2472468970.833333</v>
      </c>
      <c r="AI60">
        <v>2174701822.5</v>
      </c>
      <c r="AJ60">
        <v>2113776147.5</v>
      </c>
      <c r="AK60">
        <v>2184463734.166667</v>
      </c>
      <c r="AL60">
        <v>2948616485</v>
      </c>
      <c r="AM60">
        <v>2670484865.833333</v>
      </c>
      <c r="AN60">
        <v>2118483709.166667</v>
      </c>
      <c r="AO60">
        <v>2901998377.5</v>
      </c>
      <c r="AP60">
        <v>12982558226.66667</v>
      </c>
      <c r="AQ60">
        <v>19820690937.5</v>
      </c>
      <c r="AR60">
        <v>20665153827.5</v>
      </c>
      <c r="AS60">
        <v>27550428463.33334</v>
      </c>
      <c r="AT60">
        <v>11579386673.33333</v>
      </c>
      <c r="AU60">
        <v>17565618433.33334</v>
      </c>
      <c r="AV60">
        <v>17965221594.166672</v>
      </c>
      <c r="AW60">
        <v>16803987630.83333</v>
      </c>
      <c r="AX60">
        <v>10553396095.83333</v>
      </c>
      <c r="AY60">
        <v>18404292679.166672</v>
      </c>
      <c r="AZ60">
        <v>16395424385.83333</v>
      </c>
      <c r="BA60">
        <v>24045571185.833328</v>
      </c>
      <c r="BB60">
        <v>13480570442.5</v>
      </c>
      <c r="BC60">
        <v>15089932658.33333</v>
      </c>
      <c r="BD60">
        <v>18045896616.66666</v>
      </c>
      <c r="BE60">
        <v>14347565335</v>
      </c>
      <c r="BF60">
        <v>20259238517.5</v>
      </c>
      <c r="BG60">
        <v>20728161307.5</v>
      </c>
      <c r="BH60">
        <v>21134386271.666672</v>
      </c>
      <c r="BI60">
        <v>18487621045.833328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I60"/>
  <sheetViews>
    <sheetView zoomScaleNormal="100" workbookViewId="0"/>
  </sheetViews>
  <sheetFormatPr defaultColWidth="8.5703125" defaultRowHeight="15" x14ac:dyDescent="0.25"/>
  <cols>
    <col min="1" max="1" width="24" customWidth="1"/>
    <col min="2" max="2" width="12" customWidth="1"/>
    <col min="3" max="3" width="20" customWidth="1"/>
    <col min="4" max="4" width="13" customWidth="1"/>
    <col min="5" max="5" width="11" customWidth="1"/>
    <col min="6" max="6" width="20" customWidth="1"/>
    <col min="7" max="23" width="9" customWidth="1"/>
    <col min="24" max="26" width="10" customWidth="1"/>
    <col min="27" max="29" width="9" customWidth="1"/>
    <col min="30" max="33" width="10" customWidth="1"/>
    <col min="34" max="34" width="9" customWidth="1"/>
    <col min="35" max="35" width="10" customWidth="1"/>
    <col min="36" max="37" width="9" customWidth="1"/>
    <col min="38" max="39" width="10" customWidth="1"/>
    <col min="40" max="40" width="9" customWidth="1"/>
    <col min="41" max="52" width="10" customWidth="1"/>
    <col min="53" max="53" width="11" customWidth="1"/>
    <col min="54" max="61" width="10" customWidth="1"/>
  </cols>
  <sheetData>
    <row r="1" spans="1:6" ht="15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 t="s">
        <v>6</v>
      </c>
      <c r="B2">
        <v>1</v>
      </c>
      <c r="C2">
        <v>5231562.3</v>
      </c>
      <c r="D2">
        <v>5224229</v>
      </c>
      <c r="E2">
        <v>5248280</v>
      </c>
      <c r="F2">
        <v>7525.0317746837454</v>
      </c>
    </row>
    <row r="3" spans="1:6" x14ac:dyDescent="0.25">
      <c r="A3" t="s">
        <v>6</v>
      </c>
      <c r="B3">
        <v>2</v>
      </c>
      <c r="C3">
        <v>7414984.75</v>
      </c>
      <c r="D3">
        <v>7124396</v>
      </c>
      <c r="E3">
        <v>8155831</v>
      </c>
      <c r="F3">
        <v>378897.87992859958</v>
      </c>
    </row>
    <row r="4" spans="1:6" x14ac:dyDescent="0.25">
      <c r="A4" t="s">
        <v>6</v>
      </c>
      <c r="B4">
        <v>3</v>
      </c>
      <c r="C4">
        <v>33366653.949999999</v>
      </c>
      <c r="D4">
        <v>29199698</v>
      </c>
      <c r="E4">
        <v>37455082</v>
      </c>
      <c r="F4">
        <v>1924642.5288146751</v>
      </c>
    </row>
    <row r="5" spans="1:6" x14ac:dyDescent="0.25">
      <c r="A5" t="s">
        <v>7</v>
      </c>
      <c r="B5">
        <v>1</v>
      </c>
      <c r="C5">
        <v>4655559.95</v>
      </c>
      <c r="D5">
        <v>4651167</v>
      </c>
      <c r="E5">
        <v>4673142</v>
      </c>
      <c r="F5">
        <v>4686.168888068376</v>
      </c>
    </row>
    <row r="6" spans="1:6" x14ac:dyDescent="0.25">
      <c r="A6" t="s">
        <v>7</v>
      </c>
      <c r="B6">
        <v>2</v>
      </c>
      <c r="C6">
        <v>6563186.7999999998</v>
      </c>
      <c r="D6">
        <v>6443484</v>
      </c>
      <c r="E6">
        <v>7456287</v>
      </c>
      <c r="F6">
        <v>231459.09079869819</v>
      </c>
    </row>
    <row r="7" spans="1:6" x14ac:dyDescent="0.25">
      <c r="A7" t="s">
        <v>7</v>
      </c>
      <c r="B7">
        <v>3</v>
      </c>
      <c r="C7">
        <v>29550558.949999999</v>
      </c>
      <c r="D7">
        <v>24896836</v>
      </c>
      <c r="E7">
        <v>39851433</v>
      </c>
      <c r="F7">
        <v>2708483.3874521269</v>
      </c>
    </row>
    <row r="8" spans="1:6" x14ac:dyDescent="0.25">
      <c r="A8" t="s">
        <v>8</v>
      </c>
      <c r="B8">
        <v>1</v>
      </c>
      <c r="C8">
        <v>4902569.55</v>
      </c>
      <c r="D8">
        <v>4902515</v>
      </c>
      <c r="E8">
        <v>4902605</v>
      </c>
      <c r="F8">
        <v>22.06462100286339</v>
      </c>
    </row>
    <row r="9" spans="1:6" x14ac:dyDescent="0.25">
      <c r="A9" t="s">
        <v>8</v>
      </c>
      <c r="B9">
        <v>2</v>
      </c>
      <c r="C9">
        <v>6453513.0999999996</v>
      </c>
      <c r="D9">
        <v>6453485</v>
      </c>
      <c r="E9">
        <v>6453547</v>
      </c>
      <c r="F9">
        <v>17.742322283173639</v>
      </c>
    </row>
    <row r="10" spans="1:6" x14ac:dyDescent="0.25">
      <c r="A10" t="s">
        <v>8</v>
      </c>
      <c r="B10">
        <v>3</v>
      </c>
      <c r="C10">
        <v>47971008.75</v>
      </c>
      <c r="D10">
        <v>47970963</v>
      </c>
      <c r="E10">
        <v>47971036</v>
      </c>
      <c r="F10">
        <v>16.952507189203612</v>
      </c>
    </row>
    <row r="11" spans="1:6" x14ac:dyDescent="0.25">
      <c r="A11" t="s">
        <v>9</v>
      </c>
      <c r="B11">
        <v>1</v>
      </c>
      <c r="C11">
        <v>5842911.0999999996</v>
      </c>
      <c r="D11">
        <v>4882169</v>
      </c>
      <c r="E11">
        <v>7559134</v>
      </c>
      <c r="F11">
        <v>838664.09227311623</v>
      </c>
    </row>
    <row r="12" spans="1:6" ht="15" customHeight="1" x14ac:dyDescent="0.25">
      <c r="A12" s="1" t="s">
        <v>9</v>
      </c>
      <c r="B12">
        <v>2</v>
      </c>
      <c r="C12">
        <v>8726051.5</v>
      </c>
      <c r="D12">
        <v>6446174</v>
      </c>
      <c r="E12">
        <v>13406196</v>
      </c>
      <c r="F12">
        <v>1888163.715292254</v>
      </c>
    </row>
    <row r="13" spans="1:6" x14ac:dyDescent="0.25">
      <c r="A13" t="s">
        <v>9</v>
      </c>
      <c r="B13">
        <v>3</v>
      </c>
      <c r="C13">
        <v>61195265.600000001</v>
      </c>
      <c r="D13">
        <v>32064785</v>
      </c>
      <c r="E13">
        <v>114065761</v>
      </c>
      <c r="F13">
        <v>17994604.4848921</v>
      </c>
    </row>
    <row r="14" spans="1:6" x14ac:dyDescent="0.25">
      <c r="A14" t="s">
        <v>10</v>
      </c>
      <c r="B14">
        <v>1</v>
      </c>
      <c r="C14">
        <v>4877247.3</v>
      </c>
      <c r="D14">
        <v>4658568</v>
      </c>
      <c r="E14">
        <v>5119346</v>
      </c>
      <c r="F14">
        <v>111910.80032959289</v>
      </c>
    </row>
    <row r="15" spans="1:6" x14ac:dyDescent="0.25">
      <c r="A15" t="s">
        <v>10</v>
      </c>
      <c r="B15">
        <v>2</v>
      </c>
      <c r="C15">
        <v>7456678.5</v>
      </c>
      <c r="D15">
        <v>7044418</v>
      </c>
      <c r="E15">
        <v>8394151</v>
      </c>
      <c r="F15">
        <v>263096.00013027567</v>
      </c>
    </row>
    <row r="16" spans="1:6" x14ac:dyDescent="0.25">
      <c r="A16" t="s">
        <v>10</v>
      </c>
      <c r="B16">
        <v>3</v>
      </c>
      <c r="C16">
        <v>48977754</v>
      </c>
      <c r="D16">
        <v>45110507</v>
      </c>
      <c r="E16">
        <v>52935249</v>
      </c>
      <c r="F16">
        <v>2176185.1410264941</v>
      </c>
    </row>
    <row r="17" spans="1:6" x14ac:dyDescent="0.25">
      <c r="A17" t="s">
        <v>11</v>
      </c>
      <c r="B17">
        <v>1</v>
      </c>
      <c r="C17">
        <v>5742286</v>
      </c>
      <c r="D17">
        <v>4883351</v>
      </c>
      <c r="E17">
        <v>9707734</v>
      </c>
      <c r="F17">
        <v>1236976.8116818119</v>
      </c>
    </row>
    <row r="18" spans="1:6" x14ac:dyDescent="0.25">
      <c r="A18" t="s">
        <v>11</v>
      </c>
      <c r="B18">
        <v>2</v>
      </c>
      <c r="C18">
        <v>9156256.3499999996</v>
      </c>
      <c r="D18">
        <v>6465965</v>
      </c>
      <c r="E18">
        <v>12742386</v>
      </c>
      <c r="F18">
        <v>1875227.208675052</v>
      </c>
    </row>
    <row r="19" spans="1:6" x14ac:dyDescent="0.25">
      <c r="A19" t="s">
        <v>11</v>
      </c>
      <c r="B19">
        <v>3</v>
      </c>
      <c r="C19">
        <v>58099634.649999999</v>
      </c>
      <c r="D19">
        <v>36933975</v>
      </c>
      <c r="E19">
        <v>84504124</v>
      </c>
      <c r="F19">
        <v>12223659.285028489</v>
      </c>
    </row>
    <row r="20" spans="1:6" ht="15" customHeight="1" x14ac:dyDescent="0.25">
      <c r="A20" s="1" t="s">
        <v>12</v>
      </c>
      <c r="B20">
        <v>1</v>
      </c>
      <c r="C20">
        <v>5483784.9000000004</v>
      </c>
      <c r="D20">
        <v>4674189</v>
      </c>
      <c r="E20">
        <v>6292879</v>
      </c>
      <c r="F20">
        <v>278373.76388479932</v>
      </c>
    </row>
    <row r="21" spans="1:6" x14ac:dyDescent="0.25">
      <c r="A21" t="s">
        <v>12</v>
      </c>
      <c r="B21">
        <v>2</v>
      </c>
      <c r="C21">
        <v>8871036.4000000004</v>
      </c>
      <c r="D21">
        <v>7644554</v>
      </c>
      <c r="E21">
        <v>10799350</v>
      </c>
      <c r="F21">
        <v>915803.76234105963</v>
      </c>
    </row>
    <row r="22" spans="1:6" x14ac:dyDescent="0.25">
      <c r="A22" t="s">
        <v>12</v>
      </c>
      <c r="B22">
        <v>3</v>
      </c>
      <c r="C22">
        <v>59252183.75</v>
      </c>
      <c r="D22">
        <v>45831083</v>
      </c>
      <c r="E22">
        <v>77930246</v>
      </c>
      <c r="F22">
        <v>6695111.2826989358</v>
      </c>
    </row>
    <row r="23" spans="1:6" ht="15" customHeight="1" x14ac:dyDescent="0.25">
      <c r="A23" s="1" t="s">
        <v>13</v>
      </c>
      <c r="B23">
        <v>1</v>
      </c>
      <c r="C23">
        <v>5385894.1500000004</v>
      </c>
      <c r="D23">
        <v>4656177</v>
      </c>
      <c r="E23">
        <v>7008901</v>
      </c>
      <c r="F23">
        <v>575201.82125435548</v>
      </c>
    </row>
    <row r="24" spans="1:6" x14ac:dyDescent="0.25">
      <c r="A24" t="s">
        <v>13</v>
      </c>
      <c r="B24">
        <v>2</v>
      </c>
      <c r="C24">
        <v>8372597.25</v>
      </c>
      <c r="D24">
        <v>6473897</v>
      </c>
      <c r="E24">
        <v>10476851</v>
      </c>
      <c r="F24">
        <v>1261334.586622078</v>
      </c>
    </row>
    <row r="25" spans="1:6" x14ac:dyDescent="0.25">
      <c r="A25" t="s">
        <v>13</v>
      </c>
      <c r="B25">
        <v>3</v>
      </c>
      <c r="C25">
        <v>59422511.799999997</v>
      </c>
      <c r="D25">
        <v>33553910</v>
      </c>
      <c r="E25">
        <v>99162691</v>
      </c>
      <c r="F25">
        <v>15407171.151328539</v>
      </c>
    </row>
    <row r="28" spans="1:6" ht="15" customHeight="1" x14ac:dyDescent="0.25">
      <c r="A28" s="4" t="s">
        <v>14</v>
      </c>
    </row>
    <row r="29" spans="1:6" x14ac:dyDescent="0.25">
      <c r="A29" t="s">
        <v>6</v>
      </c>
      <c r="C29">
        <v>15337733.66666667</v>
      </c>
      <c r="D29">
        <v>5224229</v>
      </c>
      <c r="E29">
        <v>37455082</v>
      </c>
      <c r="F29">
        <v>12829581.517791919</v>
      </c>
    </row>
    <row r="30" spans="1:6" x14ac:dyDescent="0.25">
      <c r="A30" t="s">
        <v>7</v>
      </c>
      <c r="C30">
        <v>13589768.56666667</v>
      </c>
      <c r="D30">
        <v>4651167</v>
      </c>
      <c r="E30">
        <v>39851433</v>
      </c>
      <c r="F30">
        <v>11421168.097316431</v>
      </c>
    </row>
    <row r="31" spans="1:6" ht="15" customHeight="1" x14ac:dyDescent="0.25">
      <c r="A31" s="1" t="s">
        <v>8</v>
      </c>
      <c r="C31">
        <v>19775697.133333329</v>
      </c>
      <c r="D31">
        <v>4902515</v>
      </c>
      <c r="E31">
        <v>47971036</v>
      </c>
      <c r="F31">
        <v>19947147.738378871</v>
      </c>
    </row>
    <row r="32" spans="1:6" x14ac:dyDescent="0.25">
      <c r="A32" t="s">
        <v>9</v>
      </c>
      <c r="C32">
        <v>25254742.733333331</v>
      </c>
      <c r="D32">
        <v>4882169</v>
      </c>
      <c r="E32">
        <v>114065761</v>
      </c>
      <c r="F32">
        <v>27506437.642972801</v>
      </c>
    </row>
    <row r="33" spans="1:6" x14ac:dyDescent="0.25">
      <c r="A33" t="s">
        <v>10</v>
      </c>
      <c r="C33">
        <v>20437226.600000001</v>
      </c>
      <c r="D33">
        <v>4658568</v>
      </c>
      <c r="E33">
        <v>52935249</v>
      </c>
      <c r="F33">
        <v>20248348.198997471</v>
      </c>
    </row>
    <row r="34" spans="1:6" x14ac:dyDescent="0.25">
      <c r="A34" t="s">
        <v>11</v>
      </c>
      <c r="C34">
        <v>24332725.666666672</v>
      </c>
      <c r="D34">
        <v>4883351</v>
      </c>
      <c r="E34">
        <v>84504124</v>
      </c>
      <c r="F34">
        <v>24970637.72541444</v>
      </c>
    </row>
    <row r="35" spans="1:6" ht="15" customHeight="1" x14ac:dyDescent="0.25">
      <c r="A35" s="1" t="s">
        <v>12</v>
      </c>
      <c r="C35">
        <v>24535668.350000001</v>
      </c>
      <c r="D35">
        <v>4674189</v>
      </c>
      <c r="E35">
        <v>77930246</v>
      </c>
      <c r="F35">
        <v>24895328.224461731</v>
      </c>
    </row>
    <row r="36" spans="1:6" ht="15" customHeight="1" x14ac:dyDescent="0.25">
      <c r="A36" s="1" t="s">
        <v>13</v>
      </c>
      <c r="C36">
        <v>24393667.733333331</v>
      </c>
      <c r="D36">
        <v>4656177</v>
      </c>
      <c r="E36">
        <v>99162691</v>
      </c>
      <c r="F36">
        <v>26358381.44774802</v>
      </c>
    </row>
    <row r="39" spans="1:6" ht="15" customHeight="1" x14ac:dyDescent="0.25">
      <c r="A39" s="4" t="s">
        <v>15</v>
      </c>
    </row>
    <row r="40" spans="1:6" x14ac:dyDescent="0.25">
      <c r="A40" t="s">
        <v>16</v>
      </c>
      <c r="B40">
        <v>1</v>
      </c>
      <c r="C40">
        <v>2</v>
      </c>
      <c r="D40">
        <v>3</v>
      </c>
    </row>
    <row r="41" spans="1:6" x14ac:dyDescent="0.25">
      <c r="A41" t="s">
        <v>6</v>
      </c>
      <c r="B41">
        <v>5231562.3</v>
      </c>
      <c r="C41">
        <v>7414984.75</v>
      </c>
      <c r="D41">
        <v>33366653.949999999</v>
      </c>
    </row>
    <row r="42" spans="1:6" x14ac:dyDescent="0.25">
      <c r="A42" t="s">
        <v>7</v>
      </c>
      <c r="B42">
        <v>4655559.95</v>
      </c>
      <c r="C42">
        <v>6563186.7999999998</v>
      </c>
      <c r="D42">
        <v>29550558.949999999</v>
      </c>
    </row>
    <row r="43" spans="1:6" ht="15" customHeight="1" x14ac:dyDescent="0.25">
      <c r="A43" s="1" t="s">
        <v>8</v>
      </c>
      <c r="B43">
        <v>4902569.55</v>
      </c>
      <c r="C43">
        <v>6453513.0999999996</v>
      </c>
      <c r="D43">
        <v>47971008.75</v>
      </c>
    </row>
    <row r="44" spans="1:6" x14ac:dyDescent="0.25">
      <c r="A44" t="s">
        <v>9</v>
      </c>
      <c r="B44">
        <v>5842911.0999999996</v>
      </c>
      <c r="C44">
        <v>8726051.5</v>
      </c>
      <c r="D44">
        <v>61195265.600000001</v>
      </c>
    </row>
    <row r="45" spans="1:6" x14ac:dyDescent="0.25">
      <c r="A45" t="s">
        <v>10</v>
      </c>
      <c r="B45">
        <v>4877247.3</v>
      </c>
      <c r="C45">
        <v>7456678.5</v>
      </c>
      <c r="D45">
        <v>48977754</v>
      </c>
    </row>
    <row r="46" spans="1:6" x14ac:dyDescent="0.25">
      <c r="A46" t="s">
        <v>11</v>
      </c>
      <c r="B46">
        <v>5742286</v>
      </c>
      <c r="C46">
        <v>9156256.3499999996</v>
      </c>
      <c r="D46">
        <v>58099634.649999999</v>
      </c>
    </row>
    <row r="47" spans="1:6" ht="15" customHeight="1" x14ac:dyDescent="0.25">
      <c r="A47" s="1" t="s">
        <v>12</v>
      </c>
      <c r="B47">
        <v>5483784.9000000004</v>
      </c>
      <c r="C47">
        <v>8871036.4000000004</v>
      </c>
      <c r="D47">
        <v>59252183.75</v>
      </c>
    </row>
    <row r="48" spans="1:6" x14ac:dyDescent="0.25">
      <c r="A48" t="s">
        <v>13</v>
      </c>
      <c r="B48">
        <v>5385894.1500000004</v>
      </c>
      <c r="C48">
        <v>8372597.25</v>
      </c>
      <c r="D48">
        <v>59422511.799999997</v>
      </c>
    </row>
    <row r="51" spans="1:61" ht="15" customHeight="1" x14ac:dyDescent="0.25">
      <c r="A51" s="4" t="s">
        <v>17</v>
      </c>
    </row>
    <row r="52" spans="1:61" x14ac:dyDescent="0.25">
      <c r="A52" t="s">
        <v>16</v>
      </c>
      <c r="B52">
        <v>1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2</v>
      </c>
      <c r="W52">
        <v>2</v>
      </c>
      <c r="X52">
        <v>2</v>
      </c>
      <c r="Y52">
        <v>2</v>
      </c>
      <c r="Z52">
        <v>2</v>
      </c>
      <c r="AA52">
        <v>2</v>
      </c>
      <c r="AB52">
        <v>2</v>
      </c>
      <c r="AC52">
        <v>2</v>
      </c>
      <c r="AD52">
        <v>2</v>
      </c>
      <c r="AE52">
        <v>2</v>
      </c>
      <c r="AF52">
        <v>2</v>
      </c>
      <c r="AG52">
        <v>2</v>
      </c>
      <c r="AH52">
        <v>2</v>
      </c>
      <c r="AI52">
        <v>2</v>
      </c>
      <c r="AJ52">
        <v>2</v>
      </c>
      <c r="AK52">
        <v>2</v>
      </c>
      <c r="AL52">
        <v>2</v>
      </c>
      <c r="AM52">
        <v>2</v>
      </c>
      <c r="AN52">
        <v>2</v>
      </c>
      <c r="AO52">
        <v>2</v>
      </c>
      <c r="AP52">
        <v>3</v>
      </c>
      <c r="AQ52">
        <v>3</v>
      </c>
      <c r="AR52">
        <v>3</v>
      </c>
      <c r="AS52">
        <v>3</v>
      </c>
      <c r="AT52">
        <v>3</v>
      </c>
      <c r="AU52">
        <v>3</v>
      </c>
      <c r="AV52">
        <v>3</v>
      </c>
      <c r="AW52">
        <v>3</v>
      </c>
      <c r="AX52">
        <v>3</v>
      </c>
      <c r="AY52">
        <v>3</v>
      </c>
      <c r="AZ52">
        <v>3</v>
      </c>
      <c r="BA52">
        <v>3</v>
      </c>
      <c r="BB52">
        <v>3</v>
      </c>
      <c r="BC52">
        <v>3</v>
      </c>
      <c r="BD52">
        <v>3</v>
      </c>
      <c r="BE52">
        <v>3</v>
      </c>
      <c r="BF52">
        <v>3</v>
      </c>
      <c r="BG52">
        <v>3</v>
      </c>
      <c r="BH52">
        <v>3</v>
      </c>
      <c r="BI52">
        <v>3</v>
      </c>
    </row>
    <row r="53" spans="1:61" x14ac:dyDescent="0.25">
      <c r="A53" t="s">
        <v>6</v>
      </c>
      <c r="B53">
        <v>5228872</v>
      </c>
      <c r="C53">
        <v>5227116</v>
      </c>
      <c r="D53">
        <v>5227053</v>
      </c>
      <c r="E53">
        <v>5224229</v>
      </c>
      <c r="F53">
        <v>5245134</v>
      </c>
      <c r="G53">
        <v>5248280</v>
      </c>
      <c r="H53">
        <v>5227971</v>
      </c>
      <c r="I53">
        <v>5230011</v>
      </c>
      <c r="J53">
        <v>5245207</v>
      </c>
      <c r="K53">
        <v>5227033</v>
      </c>
      <c r="L53">
        <v>5233842</v>
      </c>
      <c r="M53">
        <v>5230091</v>
      </c>
      <c r="N53">
        <v>5225861</v>
      </c>
      <c r="O53">
        <v>5226270</v>
      </c>
      <c r="P53">
        <v>5245332</v>
      </c>
      <c r="Q53">
        <v>5227947</v>
      </c>
      <c r="R53">
        <v>5227212</v>
      </c>
      <c r="S53">
        <v>5230859</v>
      </c>
      <c r="T53">
        <v>5227834</v>
      </c>
      <c r="U53">
        <v>5225092</v>
      </c>
      <c r="V53">
        <v>7813989</v>
      </c>
      <c r="W53">
        <v>7140103</v>
      </c>
      <c r="X53">
        <v>7139028</v>
      </c>
      <c r="Y53">
        <v>8153578</v>
      </c>
      <c r="Z53">
        <v>7163765</v>
      </c>
      <c r="AA53">
        <v>7825525</v>
      </c>
      <c r="AB53">
        <v>7134645</v>
      </c>
      <c r="AC53">
        <v>7155431</v>
      </c>
      <c r="AD53">
        <v>7822380</v>
      </c>
      <c r="AE53">
        <v>8155831</v>
      </c>
      <c r="AF53">
        <v>7150706</v>
      </c>
      <c r="AG53">
        <v>7146077</v>
      </c>
      <c r="AH53">
        <v>7138015</v>
      </c>
      <c r="AI53">
        <v>7821666</v>
      </c>
      <c r="AJ53">
        <v>7144180</v>
      </c>
      <c r="AK53">
        <v>7154239</v>
      </c>
      <c r="AL53">
        <v>7145588</v>
      </c>
      <c r="AM53">
        <v>7824334</v>
      </c>
      <c r="AN53">
        <v>7124396</v>
      </c>
      <c r="AO53">
        <v>7146219</v>
      </c>
      <c r="AP53">
        <v>34042045</v>
      </c>
      <c r="AQ53">
        <v>33010349</v>
      </c>
      <c r="AR53">
        <v>33922802</v>
      </c>
      <c r="AS53">
        <v>34036069</v>
      </c>
      <c r="AT53">
        <v>33932124</v>
      </c>
      <c r="AU53">
        <v>35393897</v>
      </c>
      <c r="AV53">
        <v>33930026</v>
      </c>
      <c r="AW53">
        <v>31441554</v>
      </c>
      <c r="AX53">
        <v>31435786</v>
      </c>
      <c r="AY53">
        <v>34041426</v>
      </c>
      <c r="AZ53">
        <v>30827252</v>
      </c>
      <c r="BA53">
        <v>35350407</v>
      </c>
      <c r="BB53">
        <v>34182360</v>
      </c>
      <c r="BC53">
        <v>35891359</v>
      </c>
      <c r="BD53">
        <v>31440696</v>
      </c>
      <c r="BE53">
        <v>37455082</v>
      </c>
      <c r="BF53">
        <v>29199698</v>
      </c>
      <c r="BG53">
        <v>31431321</v>
      </c>
      <c r="BH53">
        <v>32447986</v>
      </c>
      <c r="BI53">
        <v>33920840</v>
      </c>
    </row>
    <row r="54" spans="1:61" x14ac:dyDescent="0.25">
      <c r="A54" t="s">
        <v>7</v>
      </c>
      <c r="B54">
        <v>4656196</v>
      </c>
      <c r="C54">
        <v>4657130</v>
      </c>
      <c r="D54">
        <v>4654847</v>
      </c>
      <c r="E54">
        <v>4655044</v>
      </c>
      <c r="F54">
        <v>4654933</v>
      </c>
      <c r="G54">
        <v>4652150</v>
      </c>
      <c r="H54">
        <v>4654975</v>
      </c>
      <c r="I54">
        <v>4653240</v>
      </c>
      <c r="J54">
        <v>4659860</v>
      </c>
      <c r="K54">
        <v>4652901</v>
      </c>
      <c r="L54">
        <v>4652909</v>
      </c>
      <c r="M54">
        <v>4651167</v>
      </c>
      <c r="N54">
        <v>4657069</v>
      </c>
      <c r="O54">
        <v>4651330</v>
      </c>
      <c r="P54">
        <v>4654149</v>
      </c>
      <c r="Q54">
        <v>4653240</v>
      </c>
      <c r="R54">
        <v>4657853</v>
      </c>
      <c r="S54">
        <v>4657840</v>
      </c>
      <c r="T54">
        <v>4651224</v>
      </c>
      <c r="U54">
        <v>4673142</v>
      </c>
      <c r="V54">
        <v>6462277</v>
      </c>
      <c r="W54">
        <v>6736804</v>
      </c>
      <c r="X54">
        <v>6466921</v>
      </c>
      <c r="Y54">
        <v>6443484</v>
      </c>
      <c r="Z54">
        <v>7456287</v>
      </c>
      <c r="AA54">
        <v>6478630</v>
      </c>
      <c r="AB54">
        <v>6455112</v>
      </c>
      <c r="AC54">
        <v>6447825</v>
      </c>
      <c r="AD54">
        <v>6466742</v>
      </c>
      <c r="AE54">
        <v>6467536</v>
      </c>
      <c r="AF54">
        <v>6452704</v>
      </c>
      <c r="AG54">
        <v>6462142</v>
      </c>
      <c r="AH54">
        <v>6460877</v>
      </c>
      <c r="AI54">
        <v>6451096</v>
      </c>
      <c r="AJ54">
        <v>6733572</v>
      </c>
      <c r="AK54">
        <v>6727709</v>
      </c>
      <c r="AL54">
        <v>6449644</v>
      </c>
      <c r="AM54">
        <v>6464141</v>
      </c>
      <c r="AN54">
        <v>6719786</v>
      </c>
      <c r="AO54">
        <v>6460447</v>
      </c>
      <c r="AP54">
        <v>28709664</v>
      </c>
      <c r="AQ54">
        <v>28826572</v>
      </c>
      <c r="AR54">
        <v>29867763</v>
      </c>
      <c r="AS54">
        <v>28711259</v>
      </c>
      <c r="AT54">
        <v>28829325</v>
      </c>
      <c r="AU54">
        <v>28830564</v>
      </c>
      <c r="AV54">
        <v>29873985</v>
      </c>
      <c r="AW54">
        <v>28826434</v>
      </c>
      <c r="AX54">
        <v>39851433</v>
      </c>
      <c r="AY54">
        <v>28834457</v>
      </c>
      <c r="AZ54">
        <v>29719217</v>
      </c>
      <c r="BA54">
        <v>28829586</v>
      </c>
      <c r="BB54">
        <v>31629218</v>
      </c>
      <c r="BC54">
        <v>29866866</v>
      </c>
      <c r="BD54">
        <v>28708322</v>
      </c>
      <c r="BE54">
        <v>24896836</v>
      </c>
      <c r="BF54">
        <v>29868084</v>
      </c>
      <c r="BG54">
        <v>26592053</v>
      </c>
      <c r="BH54">
        <v>29867882</v>
      </c>
      <c r="BI54">
        <v>29871659</v>
      </c>
    </row>
    <row r="55" spans="1:61" x14ac:dyDescent="0.25">
      <c r="A55" t="s">
        <v>8</v>
      </c>
      <c r="B55">
        <v>4902598</v>
      </c>
      <c r="C55">
        <v>4902537</v>
      </c>
      <c r="D55">
        <v>4902573</v>
      </c>
      <c r="E55">
        <v>4902581</v>
      </c>
      <c r="F55">
        <v>4902553</v>
      </c>
      <c r="G55">
        <v>4902589</v>
      </c>
      <c r="H55">
        <v>4902573</v>
      </c>
      <c r="I55">
        <v>4902515</v>
      </c>
      <c r="J55">
        <v>4902580</v>
      </c>
      <c r="K55">
        <v>4902590</v>
      </c>
      <c r="L55">
        <v>4902562</v>
      </c>
      <c r="M55">
        <v>4902583</v>
      </c>
      <c r="N55">
        <v>4902580</v>
      </c>
      <c r="O55">
        <v>4902556</v>
      </c>
      <c r="P55">
        <v>4902579</v>
      </c>
      <c r="Q55">
        <v>4902605</v>
      </c>
      <c r="R55">
        <v>4902575</v>
      </c>
      <c r="S55">
        <v>4902533</v>
      </c>
      <c r="T55">
        <v>4902576</v>
      </c>
      <c r="U55">
        <v>4902553</v>
      </c>
      <c r="V55">
        <v>6453517</v>
      </c>
      <c r="W55">
        <v>6453485</v>
      </c>
      <c r="X55">
        <v>6453523</v>
      </c>
      <c r="Y55">
        <v>6453546</v>
      </c>
      <c r="Z55">
        <v>6453510</v>
      </c>
      <c r="AA55">
        <v>6453547</v>
      </c>
      <c r="AB55">
        <v>6453538</v>
      </c>
      <c r="AC55">
        <v>6453509</v>
      </c>
      <c r="AD55">
        <v>6453488</v>
      </c>
      <c r="AE55">
        <v>6453506</v>
      </c>
      <c r="AF55">
        <v>6453504</v>
      </c>
      <c r="AG55">
        <v>6453541</v>
      </c>
      <c r="AH55">
        <v>6453510</v>
      </c>
      <c r="AI55">
        <v>6453499</v>
      </c>
      <c r="AJ55">
        <v>6453491</v>
      </c>
      <c r="AK55">
        <v>6453505</v>
      </c>
      <c r="AL55">
        <v>6453503</v>
      </c>
      <c r="AM55">
        <v>6453519</v>
      </c>
      <c r="AN55">
        <v>6453516</v>
      </c>
      <c r="AO55">
        <v>6453505</v>
      </c>
      <c r="AP55">
        <v>47971013</v>
      </c>
      <c r="AQ55">
        <v>47970963</v>
      </c>
      <c r="AR55">
        <v>47971003</v>
      </c>
      <c r="AS55">
        <v>47971031</v>
      </c>
      <c r="AT55">
        <v>47970995</v>
      </c>
      <c r="AU55">
        <v>47971012</v>
      </c>
      <c r="AV55">
        <v>47971022</v>
      </c>
      <c r="AW55">
        <v>47971010</v>
      </c>
      <c r="AX55">
        <v>47970998</v>
      </c>
      <c r="AY55">
        <v>47971026</v>
      </c>
      <c r="AZ55">
        <v>47971004</v>
      </c>
      <c r="BA55">
        <v>47970980</v>
      </c>
      <c r="BB55">
        <v>47971024</v>
      </c>
      <c r="BC55">
        <v>47971017</v>
      </c>
      <c r="BD55">
        <v>47970992</v>
      </c>
      <c r="BE55">
        <v>47971036</v>
      </c>
      <c r="BF55">
        <v>47971014</v>
      </c>
      <c r="BG55">
        <v>47971004</v>
      </c>
      <c r="BH55">
        <v>47971014</v>
      </c>
      <c r="BI55">
        <v>47971017</v>
      </c>
    </row>
    <row r="56" spans="1:61" x14ac:dyDescent="0.25">
      <c r="A56" t="s">
        <v>9</v>
      </c>
      <c r="B56">
        <v>7009867</v>
      </c>
      <c r="C56">
        <v>7559134</v>
      </c>
      <c r="D56">
        <v>4882420</v>
      </c>
      <c r="E56">
        <v>5581364</v>
      </c>
      <c r="F56">
        <v>5880255</v>
      </c>
      <c r="G56">
        <v>4892366</v>
      </c>
      <c r="H56">
        <v>4887137</v>
      </c>
      <c r="I56">
        <v>5871202</v>
      </c>
      <c r="J56">
        <v>5332193</v>
      </c>
      <c r="K56">
        <v>5968646</v>
      </c>
      <c r="L56">
        <v>5346584</v>
      </c>
      <c r="M56">
        <v>4882169</v>
      </c>
      <c r="N56">
        <v>5561287</v>
      </c>
      <c r="O56">
        <v>5577757</v>
      </c>
      <c r="P56">
        <v>4905758</v>
      </c>
      <c r="Q56">
        <v>7544431</v>
      </c>
      <c r="R56">
        <v>6299775</v>
      </c>
      <c r="S56">
        <v>5576884</v>
      </c>
      <c r="T56">
        <v>6644548</v>
      </c>
      <c r="U56">
        <v>6654445</v>
      </c>
      <c r="V56">
        <v>8117293</v>
      </c>
      <c r="W56">
        <v>9264843</v>
      </c>
      <c r="X56">
        <v>6468734</v>
      </c>
      <c r="Y56">
        <v>12278999</v>
      </c>
      <c r="Z56">
        <v>7644196</v>
      </c>
      <c r="AA56">
        <v>9021486</v>
      </c>
      <c r="AB56">
        <v>6469716</v>
      </c>
      <c r="AC56">
        <v>7716967</v>
      </c>
      <c r="AD56">
        <v>11546034</v>
      </c>
      <c r="AE56">
        <v>7934839</v>
      </c>
      <c r="AF56">
        <v>8754922</v>
      </c>
      <c r="AG56">
        <v>13406196</v>
      </c>
      <c r="AH56">
        <v>8903982</v>
      </c>
      <c r="AI56">
        <v>7449085</v>
      </c>
      <c r="AJ56">
        <v>6446174</v>
      </c>
      <c r="AK56">
        <v>7738888</v>
      </c>
      <c r="AL56">
        <v>7741031</v>
      </c>
      <c r="AM56">
        <v>7457593</v>
      </c>
      <c r="AN56">
        <v>9375341</v>
      </c>
      <c r="AO56">
        <v>10784711</v>
      </c>
      <c r="AP56">
        <v>35412011</v>
      </c>
      <c r="AQ56">
        <v>60584521</v>
      </c>
      <c r="AR56">
        <v>72998968</v>
      </c>
      <c r="AS56">
        <v>72839312</v>
      </c>
      <c r="AT56">
        <v>60086532</v>
      </c>
      <c r="AU56">
        <v>53176989</v>
      </c>
      <c r="AV56">
        <v>84008605</v>
      </c>
      <c r="AW56">
        <v>56338349</v>
      </c>
      <c r="AX56">
        <v>46825539</v>
      </c>
      <c r="AY56">
        <v>57141975</v>
      </c>
      <c r="AZ56">
        <v>76400543</v>
      </c>
      <c r="BA56">
        <v>114065761</v>
      </c>
      <c r="BB56">
        <v>32064785</v>
      </c>
      <c r="BC56">
        <v>62763128</v>
      </c>
      <c r="BD56">
        <v>60784250</v>
      </c>
      <c r="BE56">
        <v>48855985</v>
      </c>
      <c r="BF56">
        <v>71605238</v>
      </c>
      <c r="BG56">
        <v>41431946</v>
      </c>
      <c r="BH56">
        <v>49388159</v>
      </c>
      <c r="BI56">
        <v>67132716</v>
      </c>
    </row>
    <row r="57" spans="1:61" x14ac:dyDescent="0.25">
      <c r="A57" t="s">
        <v>10</v>
      </c>
      <c r="B57">
        <v>4888444</v>
      </c>
      <c r="C57">
        <v>4671242</v>
      </c>
      <c r="D57">
        <v>4886241</v>
      </c>
      <c r="E57">
        <v>4886426</v>
      </c>
      <c r="F57">
        <v>4884124</v>
      </c>
      <c r="G57">
        <v>5117666</v>
      </c>
      <c r="H57">
        <v>4897652</v>
      </c>
      <c r="I57">
        <v>4894816</v>
      </c>
      <c r="J57">
        <v>4892060</v>
      </c>
      <c r="K57">
        <v>4883327</v>
      </c>
      <c r="L57">
        <v>4884245</v>
      </c>
      <c r="M57">
        <v>5119346</v>
      </c>
      <c r="N57">
        <v>4887072</v>
      </c>
      <c r="O57">
        <v>4887077</v>
      </c>
      <c r="P57">
        <v>4883362</v>
      </c>
      <c r="Q57">
        <v>4885609</v>
      </c>
      <c r="R57">
        <v>4882464</v>
      </c>
      <c r="S57">
        <v>4672116</v>
      </c>
      <c r="T57">
        <v>4883089</v>
      </c>
      <c r="U57">
        <v>4658568</v>
      </c>
      <c r="V57">
        <v>7447535</v>
      </c>
      <c r="W57">
        <v>7261413</v>
      </c>
      <c r="X57">
        <v>7408521</v>
      </c>
      <c r="Y57">
        <v>7466646</v>
      </c>
      <c r="Z57">
        <v>7462831</v>
      </c>
      <c r="AA57">
        <v>7044418</v>
      </c>
      <c r="AB57">
        <v>7453163</v>
      </c>
      <c r="AC57">
        <v>7461408</v>
      </c>
      <c r="AD57">
        <v>7463019</v>
      </c>
      <c r="AE57">
        <v>7130412</v>
      </c>
      <c r="AF57">
        <v>7443555</v>
      </c>
      <c r="AG57">
        <v>7576197</v>
      </c>
      <c r="AH57">
        <v>7452044</v>
      </c>
      <c r="AI57">
        <v>7447521</v>
      </c>
      <c r="AJ57">
        <v>7445475</v>
      </c>
      <c r="AK57">
        <v>7461407</v>
      </c>
      <c r="AL57">
        <v>8394151</v>
      </c>
      <c r="AM57">
        <v>7123836</v>
      </c>
      <c r="AN57">
        <v>7484062</v>
      </c>
      <c r="AO57">
        <v>7705956</v>
      </c>
      <c r="AP57">
        <v>50331162</v>
      </c>
      <c r="AQ57">
        <v>48387574</v>
      </c>
      <c r="AR57">
        <v>52935249</v>
      </c>
      <c r="AS57">
        <v>49961743</v>
      </c>
      <c r="AT57">
        <v>50265911</v>
      </c>
      <c r="AU57">
        <v>47079666</v>
      </c>
      <c r="AV57">
        <v>52425362</v>
      </c>
      <c r="AW57">
        <v>49797084</v>
      </c>
      <c r="AX57">
        <v>47614656</v>
      </c>
      <c r="AY57">
        <v>50392315</v>
      </c>
      <c r="AZ57">
        <v>47414297</v>
      </c>
      <c r="BA57">
        <v>51408017</v>
      </c>
      <c r="BB57">
        <v>47723284</v>
      </c>
      <c r="BC57">
        <v>47563090</v>
      </c>
      <c r="BD57">
        <v>51463172</v>
      </c>
      <c r="BE57">
        <v>45110507</v>
      </c>
      <c r="BF57">
        <v>46319341</v>
      </c>
      <c r="BG57">
        <v>50226041</v>
      </c>
      <c r="BH57">
        <v>45885487</v>
      </c>
      <c r="BI57">
        <v>47251122</v>
      </c>
    </row>
    <row r="58" spans="1:61" x14ac:dyDescent="0.25">
      <c r="A58" t="s">
        <v>11</v>
      </c>
      <c r="B58">
        <v>5580606</v>
      </c>
      <c r="C58">
        <v>4902329</v>
      </c>
      <c r="D58">
        <v>5133176</v>
      </c>
      <c r="E58">
        <v>4884383</v>
      </c>
      <c r="F58">
        <v>4903343</v>
      </c>
      <c r="G58">
        <v>5135938</v>
      </c>
      <c r="H58">
        <v>4910888</v>
      </c>
      <c r="I58">
        <v>5577723</v>
      </c>
      <c r="J58">
        <v>5576638</v>
      </c>
      <c r="K58">
        <v>7174820</v>
      </c>
      <c r="L58">
        <v>7545051</v>
      </c>
      <c r="M58">
        <v>9707734</v>
      </c>
      <c r="N58">
        <v>4906057</v>
      </c>
      <c r="O58">
        <v>4883351</v>
      </c>
      <c r="P58">
        <v>5341017</v>
      </c>
      <c r="Q58">
        <v>5346611</v>
      </c>
      <c r="R58">
        <v>5333052</v>
      </c>
      <c r="S58">
        <v>7544443</v>
      </c>
      <c r="T58">
        <v>4895202</v>
      </c>
      <c r="U58">
        <v>5563358</v>
      </c>
      <c r="V58">
        <v>7265180</v>
      </c>
      <c r="W58">
        <v>8997059</v>
      </c>
      <c r="X58">
        <v>12254837</v>
      </c>
      <c r="Y58">
        <v>12742386</v>
      </c>
      <c r="Z58">
        <v>12227823</v>
      </c>
      <c r="AA58">
        <v>6465965</v>
      </c>
      <c r="AB58">
        <v>7982116</v>
      </c>
      <c r="AC58">
        <v>6467717</v>
      </c>
      <c r="AD58">
        <v>7474974</v>
      </c>
      <c r="AE58">
        <v>7467533</v>
      </c>
      <c r="AF58">
        <v>11071388</v>
      </c>
      <c r="AG58">
        <v>8983322</v>
      </c>
      <c r="AH58">
        <v>8404427</v>
      </c>
      <c r="AI58">
        <v>10373974</v>
      </c>
      <c r="AJ58">
        <v>8532126</v>
      </c>
      <c r="AK58">
        <v>9027017</v>
      </c>
      <c r="AL58">
        <v>7728507</v>
      </c>
      <c r="AM58">
        <v>10773206</v>
      </c>
      <c r="AN58">
        <v>8361163</v>
      </c>
      <c r="AO58">
        <v>10524407</v>
      </c>
      <c r="AP58">
        <v>73420175</v>
      </c>
      <c r="AQ58">
        <v>36933975</v>
      </c>
      <c r="AR58">
        <v>84504124</v>
      </c>
      <c r="AS58">
        <v>66811516</v>
      </c>
      <c r="AT58">
        <v>66859384</v>
      </c>
      <c r="AU58">
        <v>66870111</v>
      </c>
      <c r="AV58">
        <v>50194169</v>
      </c>
      <c r="AW58">
        <v>79116453</v>
      </c>
      <c r="AX58">
        <v>58600219</v>
      </c>
      <c r="AY58">
        <v>63361957</v>
      </c>
      <c r="AZ58">
        <v>45047171</v>
      </c>
      <c r="BA58">
        <v>64851898</v>
      </c>
      <c r="BB58">
        <v>50782248</v>
      </c>
      <c r="BC58">
        <v>59408214</v>
      </c>
      <c r="BD58">
        <v>46895911</v>
      </c>
      <c r="BE58">
        <v>49555897</v>
      </c>
      <c r="BF58">
        <v>48133844</v>
      </c>
      <c r="BG58">
        <v>55975627</v>
      </c>
      <c r="BH58">
        <v>51886607</v>
      </c>
      <c r="BI58">
        <v>42783193</v>
      </c>
    </row>
    <row r="59" spans="1:61" ht="15" customHeight="1" x14ac:dyDescent="0.25">
      <c r="A59" s="1" t="s">
        <v>12</v>
      </c>
      <c r="B59">
        <v>5641691</v>
      </c>
      <c r="C59">
        <v>5574017</v>
      </c>
      <c r="D59">
        <v>5560490</v>
      </c>
      <c r="E59">
        <v>5580638</v>
      </c>
      <c r="F59">
        <v>5331424</v>
      </c>
      <c r="G59">
        <v>5557589</v>
      </c>
      <c r="H59">
        <v>5343285</v>
      </c>
      <c r="I59">
        <v>5348477</v>
      </c>
      <c r="J59">
        <v>5331280</v>
      </c>
      <c r="K59">
        <v>5561760</v>
      </c>
      <c r="L59">
        <v>6292879</v>
      </c>
      <c r="M59">
        <v>5575630</v>
      </c>
      <c r="N59">
        <v>5586235</v>
      </c>
      <c r="O59">
        <v>5349343</v>
      </c>
      <c r="P59">
        <v>5559659</v>
      </c>
      <c r="Q59">
        <v>5349376</v>
      </c>
      <c r="R59">
        <v>5334189</v>
      </c>
      <c r="S59">
        <v>4674189</v>
      </c>
      <c r="T59">
        <v>5561262</v>
      </c>
      <c r="U59">
        <v>5562285</v>
      </c>
      <c r="V59">
        <v>8919672</v>
      </c>
      <c r="W59">
        <v>8805159</v>
      </c>
      <c r="X59">
        <v>8109724</v>
      </c>
      <c r="Y59">
        <v>8922347</v>
      </c>
      <c r="Z59">
        <v>8697336</v>
      </c>
      <c r="AA59">
        <v>7711947</v>
      </c>
      <c r="AB59">
        <v>7644554</v>
      </c>
      <c r="AC59">
        <v>8744848</v>
      </c>
      <c r="AD59">
        <v>9071357</v>
      </c>
      <c r="AE59">
        <v>10480445</v>
      </c>
      <c r="AF59">
        <v>8399800</v>
      </c>
      <c r="AG59">
        <v>7735065</v>
      </c>
      <c r="AH59">
        <v>7733367</v>
      </c>
      <c r="AI59">
        <v>10366694</v>
      </c>
      <c r="AJ59">
        <v>8753604</v>
      </c>
      <c r="AK59">
        <v>8766318</v>
      </c>
      <c r="AL59">
        <v>8341119</v>
      </c>
      <c r="AM59">
        <v>10016164</v>
      </c>
      <c r="AN59">
        <v>9401858</v>
      </c>
      <c r="AO59">
        <v>10799350</v>
      </c>
      <c r="AP59">
        <v>54688396</v>
      </c>
      <c r="AQ59">
        <v>66503200</v>
      </c>
      <c r="AR59">
        <v>57887323</v>
      </c>
      <c r="AS59">
        <v>59634983</v>
      </c>
      <c r="AT59">
        <v>54622772</v>
      </c>
      <c r="AU59">
        <v>70857804</v>
      </c>
      <c r="AV59">
        <v>59833947</v>
      </c>
      <c r="AW59">
        <v>58779242</v>
      </c>
      <c r="AX59">
        <v>57651606</v>
      </c>
      <c r="AY59">
        <v>63306684</v>
      </c>
      <c r="AZ59">
        <v>45831083</v>
      </c>
      <c r="BA59">
        <v>77930246</v>
      </c>
      <c r="BB59">
        <v>57997867</v>
      </c>
      <c r="BC59">
        <v>59417972</v>
      </c>
      <c r="BD59">
        <v>51004951</v>
      </c>
      <c r="BE59">
        <v>60766083</v>
      </c>
      <c r="BF59">
        <v>53383862</v>
      </c>
      <c r="BG59">
        <v>56502813</v>
      </c>
      <c r="BH59">
        <v>58106278</v>
      </c>
      <c r="BI59">
        <v>60336563</v>
      </c>
    </row>
    <row r="60" spans="1:61" x14ac:dyDescent="0.25">
      <c r="A60" t="s">
        <v>13</v>
      </c>
      <c r="B60">
        <v>5586304</v>
      </c>
      <c r="C60">
        <v>5115200</v>
      </c>
      <c r="D60">
        <v>5577866</v>
      </c>
      <c r="E60">
        <v>5329253</v>
      </c>
      <c r="F60">
        <v>4656177</v>
      </c>
      <c r="G60">
        <v>4900558</v>
      </c>
      <c r="H60">
        <v>7008901</v>
      </c>
      <c r="I60">
        <v>4885393</v>
      </c>
      <c r="J60">
        <v>5558485</v>
      </c>
      <c r="K60">
        <v>5116467</v>
      </c>
      <c r="L60">
        <v>4887115</v>
      </c>
      <c r="M60">
        <v>4883217</v>
      </c>
      <c r="N60">
        <v>4887204</v>
      </c>
      <c r="O60">
        <v>6310844</v>
      </c>
      <c r="P60">
        <v>5349386</v>
      </c>
      <c r="Q60">
        <v>6284966</v>
      </c>
      <c r="R60">
        <v>5347575</v>
      </c>
      <c r="S60">
        <v>5565164</v>
      </c>
      <c r="T60">
        <v>4907245</v>
      </c>
      <c r="U60">
        <v>5560563</v>
      </c>
      <c r="V60">
        <v>8921468</v>
      </c>
      <c r="W60">
        <v>6473897</v>
      </c>
      <c r="X60">
        <v>7735329</v>
      </c>
      <c r="Y60">
        <v>8388356</v>
      </c>
      <c r="Z60">
        <v>8992724</v>
      </c>
      <c r="AA60">
        <v>9667015</v>
      </c>
      <c r="AB60">
        <v>7313159</v>
      </c>
      <c r="AC60">
        <v>9895436</v>
      </c>
      <c r="AD60">
        <v>7037268</v>
      </c>
      <c r="AE60">
        <v>10371772</v>
      </c>
      <c r="AF60">
        <v>6733096</v>
      </c>
      <c r="AG60">
        <v>7468813</v>
      </c>
      <c r="AH60">
        <v>8753945</v>
      </c>
      <c r="AI60">
        <v>7214978</v>
      </c>
      <c r="AJ60">
        <v>7068720</v>
      </c>
      <c r="AK60">
        <v>7759042</v>
      </c>
      <c r="AL60">
        <v>10288499</v>
      </c>
      <c r="AM60">
        <v>9170071</v>
      </c>
      <c r="AN60">
        <v>7721506</v>
      </c>
      <c r="AO60">
        <v>10476851</v>
      </c>
      <c r="AP60">
        <v>42493294</v>
      </c>
      <c r="AQ60">
        <v>62817855</v>
      </c>
      <c r="AR60">
        <v>71807376</v>
      </c>
      <c r="AS60">
        <v>99162691</v>
      </c>
      <c r="AT60">
        <v>36892577</v>
      </c>
      <c r="AU60">
        <v>57822624</v>
      </c>
      <c r="AV60">
        <v>60197930</v>
      </c>
      <c r="AW60">
        <v>55280213</v>
      </c>
      <c r="AX60">
        <v>33553910</v>
      </c>
      <c r="AY60">
        <v>61639895</v>
      </c>
      <c r="AZ60">
        <v>56930662</v>
      </c>
      <c r="BA60">
        <v>83369366</v>
      </c>
      <c r="BB60">
        <v>42804997</v>
      </c>
      <c r="BC60">
        <v>46956851</v>
      </c>
      <c r="BD60">
        <v>59665165</v>
      </c>
      <c r="BE60">
        <v>47889036</v>
      </c>
      <c r="BF60">
        <v>68097796</v>
      </c>
      <c r="BG60">
        <v>67816257</v>
      </c>
      <c r="BH60">
        <v>74405275</v>
      </c>
      <c r="BI60">
        <v>58846466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I68"/>
  <sheetViews>
    <sheetView zoomScaleNormal="100" workbookViewId="0"/>
  </sheetViews>
  <sheetFormatPr defaultColWidth="8.5703125" defaultRowHeight="15" x14ac:dyDescent="0.25"/>
  <cols>
    <col min="1" max="1" width="24" customWidth="1"/>
    <col min="2" max="2" width="6" customWidth="1"/>
    <col min="3" max="3" width="9" customWidth="1"/>
    <col min="4" max="5" width="5" customWidth="1"/>
    <col min="6" max="6" width="9" customWidth="1"/>
    <col min="7" max="61" width="3" customWidth="1"/>
  </cols>
  <sheetData>
    <row r="1" spans="1:6" ht="15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ht="15" customHeight="1" x14ac:dyDescent="0.25">
      <c r="A2" t="s">
        <v>6</v>
      </c>
      <c r="B2">
        <v>1</v>
      </c>
      <c r="C2">
        <v>0</v>
      </c>
      <c r="D2" s="2" t="b">
        <v>0</v>
      </c>
      <c r="E2" s="2" t="b">
        <v>0</v>
      </c>
      <c r="F2">
        <v>0</v>
      </c>
    </row>
    <row r="3" spans="1:6" ht="15" customHeight="1" x14ac:dyDescent="0.25">
      <c r="A3" t="s">
        <v>6</v>
      </c>
      <c r="B3">
        <v>2</v>
      </c>
      <c r="C3">
        <v>0</v>
      </c>
      <c r="D3" s="2" t="b">
        <v>0</v>
      </c>
      <c r="E3" s="2" t="b">
        <v>0</v>
      </c>
      <c r="F3">
        <v>0</v>
      </c>
    </row>
    <row r="4" spans="1:6" ht="15" customHeight="1" x14ac:dyDescent="0.25">
      <c r="A4" t="s">
        <v>6</v>
      </c>
      <c r="B4">
        <v>3</v>
      </c>
      <c r="C4">
        <v>0</v>
      </c>
      <c r="D4" s="2" t="b">
        <v>0</v>
      </c>
      <c r="E4" s="2" t="b">
        <v>0</v>
      </c>
      <c r="F4">
        <v>0</v>
      </c>
    </row>
    <row r="5" spans="1:6" ht="15" customHeight="1" x14ac:dyDescent="0.25">
      <c r="A5" t="s">
        <v>7</v>
      </c>
      <c r="B5">
        <v>1</v>
      </c>
      <c r="C5">
        <v>0</v>
      </c>
      <c r="D5" s="2" t="b">
        <v>0</v>
      </c>
      <c r="E5" s="2" t="b">
        <v>0</v>
      </c>
      <c r="F5">
        <v>0</v>
      </c>
    </row>
    <row r="6" spans="1:6" ht="15" customHeight="1" x14ac:dyDescent="0.25">
      <c r="A6" t="s">
        <v>7</v>
      </c>
      <c r="B6">
        <v>2</v>
      </c>
      <c r="C6">
        <v>0</v>
      </c>
      <c r="D6" s="2" t="b">
        <v>0</v>
      </c>
      <c r="E6" s="2" t="b">
        <v>0</v>
      </c>
      <c r="F6">
        <v>0</v>
      </c>
    </row>
    <row r="7" spans="1:6" ht="15" customHeight="1" x14ac:dyDescent="0.25">
      <c r="A7" t="s">
        <v>7</v>
      </c>
      <c r="B7">
        <v>3</v>
      </c>
      <c r="C7">
        <v>0</v>
      </c>
      <c r="D7" s="2" t="b">
        <v>0</v>
      </c>
      <c r="E7" s="2" t="b">
        <v>0</v>
      </c>
      <c r="F7">
        <v>0</v>
      </c>
    </row>
    <row r="8" spans="1:6" ht="15" customHeight="1" x14ac:dyDescent="0.25">
      <c r="A8" t="s">
        <v>8</v>
      </c>
      <c r="B8">
        <v>1</v>
      </c>
      <c r="C8">
        <v>0</v>
      </c>
      <c r="D8" s="2" t="b">
        <v>0</v>
      </c>
      <c r="E8" s="2" t="b">
        <v>0</v>
      </c>
      <c r="F8">
        <v>0</v>
      </c>
    </row>
    <row r="9" spans="1:6" ht="15" customHeight="1" x14ac:dyDescent="0.25">
      <c r="A9" t="s">
        <v>8</v>
      </c>
      <c r="B9">
        <v>2</v>
      </c>
      <c r="C9">
        <v>0</v>
      </c>
      <c r="D9" s="2" t="b">
        <v>0</v>
      </c>
      <c r="E9" s="2" t="b">
        <v>0</v>
      </c>
      <c r="F9">
        <v>0</v>
      </c>
    </row>
    <row r="10" spans="1:6" ht="15" customHeight="1" x14ac:dyDescent="0.25">
      <c r="A10" t="s">
        <v>8</v>
      </c>
      <c r="B10">
        <v>3</v>
      </c>
      <c r="C10">
        <v>0</v>
      </c>
      <c r="D10" s="2" t="b">
        <v>0</v>
      </c>
      <c r="E10" s="2" t="b">
        <v>0</v>
      </c>
      <c r="F10">
        <v>0</v>
      </c>
    </row>
    <row r="11" spans="1:6" ht="15" customHeight="1" x14ac:dyDescent="0.25">
      <c r="A11" t="s">
        <v>9</v>
      </c>
      <c r="B11">
        <v>1</v>
      </c>
      <c r="C11">
        <v>0</v>
      </c>
      <c r="D11" s="2" t="b">
        <v>0</v>
      </c>
      <c r="E11" s="2" t="b">
        <v>0</v>
      </c>
      <c r="F11">
        <v>0</v>
      </c>
    </row>
    <row r="12" spans="1:6" ht="15" customHeight="1" x14ac:dyDescent="0.25">
      <c r="A12" s="1" t="s">
        <v>9</v>
      </c>
      <c r="B12">
        <v>2</v>
      </c>
      <c r="C12">
        <v>0</v>
      </c>
      <c r="D12" s="2" t="b">
        <v>0</v>
      </c>
      <c r="E12" s="2" t="b">
        <v>0</v>
      </c>
      <c r="F12">
        <v>0</v>
      </c>
    </row>
    <row r="13" spans="1:6" ht="15" customHeight="1" x14ac:dyDescent="0.25">
      <c r="A13" t="s">
        <v>9</v>
      </c>
      <c r="B13">
        <v>3</v>
      </c>
      <c r="C13">
        <v>0</v>
      </c>
      <c r="D13" s="2" t="b">
        <v>0</v>
      </c>
      <c r="E13" s="2" t="b">
        <v>0</v>
      </c>
      <c r="F13">
        <v>0</v>
      </c>
    </row>
    <row r="14" spans="1:6" ht="15" customHeight="1" x14ac:dyDescent="0.25">
      <c r="A14" t="s">
        <v>10</v>
      </c>
      <c r="B14">
        <v>1</v>
      </c>
      <c r="C14">
        <v>0</v>
      </c>
      <c r="D14" s="2" t="b">
        <v>0</v>
      </c>
      <c r="E14" s="2" t="b">
        <v>0</v>
      </c>
      <c r="F14">
        <v>0</v>
      </c>
    </row>
    <row r="15" spans="1:6" ht="15" customHeight="1" x14ac:dyDescent="0.25">
      <c r="A15" t="s">
        <v>10</v>
      </c>
      <c r="B15">
        <v>2</v>
      </c>
      <c r="C15">
        <v>0</v>
      </c>
      <c r="D15" s="2" t="b">
        <v>0</v>
      </c>
      <c r="E15" s="2" t="b">
        <v>0</v>
      </c>
      <c r="F15">
        <v>0</v>
      </c>
    </row>
    <row r="16" spans="1:6" ht="15" customHeight="1" x14ac:dyDescent="0.25">
      <c r="A16" t="s">
        <v>10</v>
      </c>
      <c r="B16">
        <v>3</v>
      </c>
      <c r="C16">
        <v>0</v>
      </c>
      <c r="D16" s="2" t="b">
        <v>0</v>
      </c>
      <c r="E16" s="2" t="b">
        <v>0</v>
      </c>
      <c r="F16">
        <v>0</v>
      </c>
    </row>
    <row r="17" spans="1:6" ht="15" customHeight="1" x14ac:dyDescent="0.25">
      <c r="A17" t="s">
        <v>11</v>
      </c>
      <c r="B17">
        <v>1</v>
      </c>
      <c r="C17">
        <v>0</v>
      </c>
      <c r="D17" s="2" t="b">
        <v>0</v>
      </c>
      <c r="E17" s="2" t="b">
        <v>0</v>
      </c>
      <c r="F17">
        <v>0</v>
      </c>
    </row>
    <row r="18" spans="1:6" ht="15" customHeight="1" x14ac:dyDescent="0.25">
      <c r="A18" t="s">
        <v>11</v>
      </c>
      <c r="B18">
        <v>2</v>
      </c>
      <c r="C18">
        <v>0</v>
      </c>
      <c r="D18" s="2" t="b">
        <v>0</v>
      </c>
      <c r="E18" s="2" t="b">
        <v>0</v>
      </c>
      <c r="F18">
        <v>0</v>
      </c>
    </row>
    <row r="19" spans="1:6" ht="15" customHeight="1" x14ac:dyDescent="0.25">
      <c r="A19" t="s">
        <v>11</v>
      </c>
      <c r="B19">
        <v>3</v>
      </c>
      <c r="C19">
        <v>0</v>
      </c>
      <c r="D19" s="2" t="b">
        <v>0</v>
      </c>
      <c r="E19" s="2" t="b">
        <v>0</v>
      </c>
      <c r="F19">
        <v>0</v>
      </c>
    </row>
    <row r="20" spans="1:6" ht="15" customHeight="1" x14ac:dyDescent="0.25">
      <c r="A20" s="1" t="s">
        <v>12</v>
      </c>
      <c r="B20">
        <v>1</v>
      </c>
      <c r="C20">
        <v>0</v>
      </c>
      <c r="D20" s="2" t="b">
        <v>0</v>
      </c>
      <c r="E20" s="2" t="b">
        <v>0</v>
      </c>
      <c r="F20">
        <v>0</v>
      </c>
    </row>
    <row r="21" spans="1:6" ht="15" customHeight="1" x14ac:dyDescent="0.25">
      <c r="A21" t="s">
        <v>12</v>
      </c>
      <c r="B21">
        <v>2</v>
      </c>
      <c r="C21">
        <v>0</v>
      </c>
      <c r="D21" s="2" t="b">
        <v>0</v>
      </c>
      <c r="E21" s="2" t="b">
        <v>0</v>
      </c>
      <c r="F21">
        <v>0</v>
      </c>
    </row>
    <row r="22" spans="1:6" ht="15" customHeight="1" x14ac:dyDescent="0.25">
      <c r="A22" t="s">
        <v>12</v>
      </c>
      <c r="B22">
        <v>3</v>
      </c>
      <c r="C22">
        <v>0</v>
      </c>
      <c r="D22" s="2" t="b">
        <v>0</v>
      </c>
      <c r="E22" s="2" t="b">
        <v>0</v>
      </c>
      <c r="F22">
        <v>0</v>
      </c>
    </row>
    <row r="23" spans="1:6" ht="15" customHeight="1" x14ac:dyDescent="0.25">
      <c r="A23" s="1" t="s">
        <v>13</v>
      </c>
      <c r="B23">
        <v>1</v>
      </c>
      <c r="C23">
        <v>0</v>
      </c>
      <c r="D23" s="2" t="b">
        <v>0</v>
      </c>
      <c r="E23" s="2" t="b">
        <v>0</v>
      </c>
      <c r="F23">
        <v>0</v>
      </c>
    </row>
    <row r="24" spans="1:6" ht="15" customHeight="1" x14ac:dyDescent="0.25">
      <c r="A24" t="s">
        <v>13</v>
      </c>
      <c r="B24">
        <v>2</v>
      </c>
      <c r="C24">
        <v>0</v>
      </c>
      <c r="D24" s="2" t="b">
        <v>0</v>
      </c>
      <c r="E24" s="2" t="b">
        <v>0</v>
      </c>
      <c r="F24">
        <v>0</v>
      </c>
    </row>
    <row r="25" spans="1:6" ht="15" customHeight="1" x14ac:dyDescent="0.25">
      <c r="A25" t="s">
        <v>13</v>
      </c>
      <c r="B25">
        <v>3</v>
      </c>
      <c r="C25">
        <v>0</v>
      </c>
      <c r="D25" s="2" t="b">
        <v>0</v>
      </c>
      <c r="E25" s="2" t="b">
        <v>0</v>
      </c>
      <c r="F25">
        <v>0</v>
      </c>
    </row>
    <row r="26" spans="1:6" ht="15" customHeight="1" x14ac:dyDescent="0.25">
      <c r="D26" s="2"/>
      <c r="E26" s="2"/>
    </row>
    <row r="27" spans="1:6" ht="15" customHeight="1" x14ac:dyDescent="0.25">
      <c r="D27" s="2"/>
      <c r="E27" s="2"/>
    </row>
    <row r="28" spans="1:6" ht="15" customHeight="1" x14ac:dyDescent="0.25">
      <c r="A28" s="4" t="s">
        <v>14</v>
      </c>
      <c r="D28" s="2"/>
      <c r="E28" s="2"/>
    </row>
    <row r="29" spans="1:6" ht="15" customHeight="1" x14ac:dyDescent="0.25">
      <c r="A29" t="s">
        <v>6</v>
      </c>
      <c r="C29">
        <v>0</v>
      </c>
      <c r="D29" s="2" t="b">
        <v>0</v>
      </c>
      <c r="E29" s="2" t="b">
        <v>0</v>
      </c>
      <c r="F29">
        <v>0</v>
      </c>
    </row>
    <row r="30" spans="1:6" ht="15" customHeight="1" x14ac:dyDescent="0.25">
      <c r="A30" t="s">
        <v>7</v>
      </c>
      <c r="C30">
        <v>0</v>
      </c>
      <c r="D30" s="2" t="b">
        <v>0</v>
      </c>
      <c r="E30" s="2" t="b">
        <v>0</v>
      </c>
      <c r="F30">
        <v>0</v>
      </c>
    </row>
    <row r="31" spans="1:6" ht="15" customHeight="1" x14ac:dyDescent="0.25">
      <c r="A31" s="1" t="s">
        <v>8</v>
      </c>
      <c r="C31">
        <v>0</v>
      </c>
      <c r="D31" s="2" t="b">
        <v>0</v>
      </c>
      <c r="E31" s="2" t="b">
        <v>0</v>
      </c>
      <c r="F31">
        <v>0</v>
      </c>
    </row>
    <row r="32" spans="1:6" ht="15" customHeight="1" x14ac:dyDescent="0.25">
      <c r="A32" t="s">
        <v>9</v>
      </c>
      <c r="C32">
        <v>0</v>
      </c>
      <c r="D32" s="2" t="b">
        <v>0</v>
      </c>
      <c r="E32" s="2" t="b">
        <v>0</v>
      </c>
      <c r="F32">
        <v>0</v>
      </c>
    </row>
    <row r="33" spans="1:11" ht="15" customHeight="1" x14ac:dyDescent="0.25">
      <c r="A33" t="s">
        <v>10</v>
      </c>
      <c r="C33">
        <v>0</v>
      </c>
      <c r="D33" s="2" t="b">
        <v>0</v>
      </c>
      <c r="E33" s="2" t="b">
        <v>0</v>
      </c>
      <c r="F33">
        <v>0</v>
      </c>
    </row>
    <row r="34" spans="1:11" ht="15" customHeight="1" x14ac:dyDescent="0.25">
      <c r="A34" t="s">
        <v>11</v>
      </c>
      <c r="C34">
        <v>0</v>
      </c>
      <c r="D34" s="2" t="b">
        <v>0</v>
      </c>
      <c r="E34" s="2" t="b">
        <v>0</v>
      </c>
      <c r="F34">
        <v>0</v>
      </c>
    </row>
    <row r="35" spans="1:11" ht="15" customHeight="1" x14ac:dyDescent="0.25">
      <c r="A35" s="1" t="s">
        <v>12</v>
      </c>
      <c r="C35">
        <v>0</v>
      </c>
      <c r="D35" s="2" t="b">
        <v>0</v>
      </c>
      <c r="E35" s="2" t="b">
        <v>0</v>
      </c>
      <c r="F35">
        <v>0</v>
      </c>
    </row>
    <row r="36" spans="1:11" ht="15" customHeight="1" x14ac:dyDescent="0.25">
      <c r="A36" s="1" t="s">
        <v>13</v>
      </c>
      <c r="C36">
        <v>0</v>
      </c>
      <c r="D36" s="2" t="b">
        <v>0</v>
      </c>
      <c r="E36" s="2" t="b">
        <v>0</v>
      </c>
      <c r="F36">
        <v>0</v>
      </c>
    </row>
    <row r="37" spans="1:11" ht="15" customHeight="1" x14ac:dyDescent="0.25">
      <c r="D37" s="2"/>
      <c r="E37" s="2"/>
      <c r="F37" s="2"/>
      <c r="G37" s="2"/>
      <c r="H37" s="2"/>
      <c r="I37" s="2"/>
      <c r="J37" s="2"/>
      <c r="K37" s="2"/>
    </row>
    <row r="38" spans="1:11" ht="15" customHeight="1" x14ac:dyDescent="0.25">
      <c r="D38" s="2"/>
      <c r="E38" s="2"/>
      <c r="F38" s="2"/>
      <c r="G38" s="2"/>
      <c r="H38" s="2"/>
      <c r="I38" s="2"/>
      <c r="J38" s="2"/>
      <c r="K38" s="2"/>
    </row>
    <row r="39" spans="1:11" ht="15" customHeight="1" x14ac:dyDescent="0.25">
      <c r="A39" s="4" t="s">
        <v>15</v>
      </c>
      <c r="D39" s="2"/>
      <c r="E39" s="2"/>
      <c r="F39" s="2"/>
      <c r="G39" s="2"/>
      <c r="H39" s="2"/>
      <c r="I39" s="2"/>
      <c r="J39" s="2"/>
      <c r="K39" s="2"/>
    </row>
    <row r="40" spans="1:11" ht="15" customHeight="1" x14ac:dyDescent="0.25">
      <c r="A40" t="s">
        <v>16</v>
      </c>
      <c r="B40">
        <v>1</v>
      </c>
      <c r="C40">
        <v>2</v>
      </c>
      <c r="D40">
        <v>3</v>
      </c>
      <c r="E40" s="2"/>
      <c r="F40" s="2"/>
      <c r="G40" s="2"/>
      <c r="H40" s="2"/>
      <c r="I40" s="2"/>
      <c r="J40" s="2"/>
      <c r="K40" s="2"/>
    </row>
    <row r="41" spans="1:11" ht="15" customHeight="1" x14ac:dyDescent="0.25">
      <c r="A41" t="s">
        <v>6</v>
      </c>
      <c r="B41">
        <v>0</v>
      </c>
      <c r="C41">
        <v>0</v>
      </c>
      <c r="D41">
        <v>0</v>
      </c>
      <c r="E41" s="2"/>
      <c r="F41" s="2"/>
      <c r="G41" s="2"/>
      <c r="H41" s="2"/>
      <c r="I41" s="2"/>
      <c r="J41" s="2"/>
      <c r="K41" s="2"/>
    </row>
    <row r="42" spans="1:11" ht="15" customHeight="1" x14ac:dyDescent="0.25">
      <c r="A42" t="s">
        <v>7</v>
      </c>
      <c r="B42">
        <v>0</v>
      </c>
      <c r="C42">
        <v>0</v>
      </c>
      <c r="D42">
        <v>0</v>
      </c>
      <c r="E42" s="2"/>
      <c r="F42" s="2"/>
      <c r="G42" s="2"/>
      <c r="H42" s="2"/>
      <c r="I42" s="2"/>
      <c r="J42" s="2"/>
      <c r="K42" s="2"/>
    </row>
    <row r="43" spans="1:11" ht="15" customHeight="1" x14ac:dyDescent="0.25">
      <c r="A43" s="1" t="s">
        <v>8</v>
      </c>
      <c r="B43">
        <v>0</v>
      </c>
      <c r="C43">
        <v>0</v>
      </c>
      <c r="D43">
        <v>0</v>
      </c>
      <c r="E43" s="2"/>
      <c r="F43" s="2"/>
      <c r="G43" s="2"/>
      <c r="H43" s="2"/>
      <c r="I43" s="2"/>
      <c r="J43" s="2"/>
      <c r="K43" s="2"/>
    </row>
    <row r="44" spans="1:11" x14ac:dyDescent="0.25">
      <c r="A44" t="s">
        <v>9</v>
      </c>
      <c r="B44">
        <v>0</v>
      </c>
      <c r="C44">
        <v>0</v>
      </c>
      <c r="D44">
        <v>0</v>
      </c>
    </row>
    <row r="45" spans="1:11" ht="15" customHeight="1" x14ac:dyDescent="0.25">
      <c r="A45" t="s">
        <v>10</v>
      </c>
      <c r="B45">
        <v>0</v>
      </c>
      <c r="C45">
        <v>0</v>
      </c>
      <c r="D45">
        <v>0</v>
      </c>
      <c r="E45" s="2"/>
      <c r="F45" s="2"/>
      <c r="G45" s="2"/>
      <c r="H45" s="2"/>
      <c r="I45" s="2"/>
      <c r="J45" s="2"/>
      <c r="K45" s="2"/>
    </row>
    <row r="46" spans="1:11" ht="15" customHeight="1" x14ac:dyDescent="0.25">
      <c r="A46" t="s">
        <v>11</v>
      </c>
      <c r="B46">
        <v>0</v>
      </c>
      <c r="C46">
        <v>0</v>
      </c>
      <c r="D46">
        <v>0</v>
      </c>
      <c r="E46" s="2"/>
      <c r="F46" s="2"/>
      <c r="G46" s="2"/>
      <c r="H46" s="2"/>
      <c r="I46" s="2"/>
      <c r="J46" s="2"/>
      <c r="K46" s="2"/>
    </row>
    <row r="47" spans="1:11" ht="15" customHeight="1" x14ac:dyDescent="0.25">
      <c r="A47" s="1" t="s">
        <v>12</v>
      </c>
      <c r="B47">
        <v>0</v>
      </c>
      <c r="C47">
        <v>0</v>
      </c>
      <c r="D47">
        <v>0</v>
      </c>
      <c r="E47" s="2"/>
      <c r="F47" s="2"/>
      <c r="G47" s="2"/>
      <c r="H47" s="2"/>
      <c r="I47" s="2"/>
      <c r="J47" s="2"/>
      <c r="K47" s="2"/>
    </row>
    <row r="48" spans="1:11" ht="15" customHeight="1" x14ac:dyDescent="0.25">
      <c r="A48" t="s">
        <v>13</v>
      </c>
      <c r="B48">
        <v>0</v>
      </c>
      <c r="C48">
        <v>0</v>
      </c>
      <c r="D48">
        <v>0</v>
      </c>
      <c r="E48" s="2"/>
      <c r="F48" s="2"/>
      <c r="G48" s="2"/>
      <c r="H48" s="2"/>
      <c r="I48" s="2"/>
      <c r="J48" s="2"/>
      <c r="K48" s="2"/>
    </row>
    <row r="49" spans="1:61" ht="15" customHeight="1" x14ac:dyDescent="0.25"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61" ht="15" customHeight="1" x14ac:dyDescent="0.25"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61" ht="15" customHeight="1" x14ac:dyDescent="0.25">
      <c r="A51" s="4" t="s">
        <v>17</v>
      </c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61" x14ac:dyDescent="0.25">
      <c r="A52" t="s">
        <v>16</v>
      </c>
      <c r="B52">
        <v>1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2</v>
      </c>
      <c r="W52">
        <v>2</v>
      </c>
      <c r="X52">
        <v>2</v>
      </c>
      <c r="Y52">
        <v>2</v>
      </c>
      <c r="Z52">
        <v>2</v>
      </c>
      <c r="AA52">
        <v>2</v>
      </c>
      <c r="AB52">
        <v>2</v>
      </c>
      <c r="AC52">
        <v>2</v>
      </c>
      <c r="AD52">
        <v>2</v>
      </c>
      <c r="AE52">
        <v>2</v>
      </c>
      <c r="AF52">
        <v>2</v>
      </c>
      <c r="AG52">
        <v>2</v>
      </c>
      <c r="AH52">
        <v>2</v>
      </c>
      <c r="AI52">
        <v>2</v>
      </c>
      <c r="AJ52">
        <v>2</v>
      </c>
      <c r="AK52">
        <v>2</v>
      </c>
      <c r="AL52">
        <v>2</v>
      </c>
      <c r="AM52">
        <v>2</v>
      </c>
      <c r="AN52">
        <v>2</v>
      </c>
      <c r="AO52">
        <v>2</v>
      </c>
      <c r="AP52">
        <v>3</v>
      </c>
      <c r="AQ52">
        <v>3</v>
      </c>
      <c r="AR52">
        <v>3</v>
      </c>
      <c r="AS52">
        <v>3</v>
      </c>
      <c r="AT52">
        <v>3</v>
      </c>
      <c r="AU52">
        <v>3</v>
      </c>
      <c r="AV52">
        <v>3</v>
      </c>
      <c r="AW52">
        <v>3</v>
      </c>
      <c r="AX52">
        <v>3</v>
      </c>
      <c r="AY52">
        <v>3</v>
      </c>
      <c r="AZ52">
        <v>3</v>
      </c>
      <c r="BA52">
        <v>3</v>
      </c>
      <c r="BB52">
        <v>3</v>
      </c>
      <c r="BC52">
        <v>3</v>
      </c>
      <c r="BD52">
        <v>3</v>
      </c>
      <c r="BE52">
        <v>3</v>
      </c>
      <c r="BF52">
        <v>3</v>
      </c>
      <c r="BG52">
        <v>3</v>
      </c>
      <c r="BH52">
        <v>3</v>
      </c>
      <c r="BI52">
        <v>3</v>
      </c>
    </row>
    <row r="53" spans="1:61" ht="15" customHeight="1" x14ac:dyDescent="0.25">
      <c r="A53" t="s">
        <v>6</v>
      </c>
      <c r="B53" s="2" t="b">
        <v>0</v>
      </c>
      <c r="C53" s="2" t="b">
        <v>0</v>
      </c>
      <c r="D53" s="2" t="b">
        <v>0</v>
      </c>
      <c r="E53" s="2" t="b">
        <v>0</v>
      </c>
      <c r="F53" s="2" t="b">
        <v>0</v>
      </c>
      <c r="G53" s="2" t="b">
        <v>0</v>
      </c>
      <c r="H53" s="2" t="b">
        <v>0</v>
      </c>
      <c r="I53" s="2" t="b">
        <v>0</v>
      </c>
      <c r="J53" s="2" t="b">
        <v>0</v>
      </c>
      <c r="K53" s="2" t="b">
        <v>0</v>
      </c>
      <c r="L53" s="2" t="b">
        <v>0</v>
      </c>
      <c r="M53" s="2" t="b">
        <v>0</v>
      </c>
      <c r="N53" s="2" t="b">
        <v>0</v>
      </c>
      <c r="O53" s="2" t="b">
        <v>0</v>
      </c>
      <c r="P53" s="2" t="b">
        <v>0</v>
      </c>
      <c r="Q53" s="2" t="b">
        <v>0</v>
      </c>
      <c r="R53" s="2" t="b">
        <v>0</v>
      </c>
      <c r="S53" s="2" t="b">
        <v>0</v>
      </c>
      <c r="T53" s="2" t="b">
        <v>0</v>
      </c>
      <c r="U53" s="2" t="b">
        <v>0</v>
      </c>
      <c r="V53" s="2" t="b">
        <v>0</v>
      </c>
      <c r="W53" s="2" t="b">
        <v>0</v>
      </c>
      <c r="X53" s="2" t="b">
        <v>0</v>
      </c>
      <c r="Y53" s="2" t="b">
        <v>0</v>
      </c>
      <c r="Z53" s="2" t="b">
        <v>0</v>
      </c>
      <c r="AA53" s="2" t="b">
        <v>0</v>
      </c>
      <c r="AB53" s="2" t="b">
        <v>0</v>
      </c>
      <c r="AC53" s="2" t="b">
        <v>0</v>
      </c>
      <c r="AD53" s="2" t="b">
        <v>0</v>
      </c>
      <c r="AE53" s="2" t="b">
        <v>0</v>
      </c>
      <c r="AF53" s="2" t="b">
        <v>0</v>
      </c>
      <c r="AG53" s="2" t="b">
        <v>0</v>
      </c>
      <c r="AH53" s="2" t="b">
        <v>0</v>
      </c>
      <c r="AI53" s="2" t="b">
        <v>0</v>
      </c>
      <c r="AJ53" s="2" t="b">
        <v>0</v>
      </c>
      <c r="AK53" s="2" t="b">
        <v>0</v>
      </c>
      <c r="AL53" s="2" t="b">
        <v>0</v>
      </c>
      <c r="AM53" s="2" t="b">
        <v>0</v>
      </c>
      <c r="AN53" s="2" t="b">
        <v>0</v>
      </c>
      <c r="AO53" s="2" t="b">
        <v>0</v>
      </c>
      <c r="AP53" s="2" t="b">
        <v>0</v>
      </c>
      <c r="AQ53" s="2" t="b">
        <v>0</v>
      </c>
      <c r="AR53" s="2" t="b">
        <v>0</v>
      </c>
      <c r="AS53" s="2" t="b">
        <v>0</v>
      </c>
      <c r="AT53" s="2" t="b">
        <v>0</v>
      </c>
      <c r="AU53" s="2" t="b">
        <v>0</v>
      </c>
      <c r="AV53" s="2" t="b">
        <v>0</v>
      </c>
      <c r="AW53" s="2" t="b">
        <v>0</v>
      </c>
      <c r="AX53" s="2" t="b">
        <v>0</v>
      </c>
      <c r="AY53" s="2" t="b">
        <v>0</v>
      </c>
      <c r="AZ53" s="2" t="b">
        <v>0</v>
      </c>
      <c r="BA53" s="2" t="b">
        <v>0</v>
      </c>
      <c r="BB53" s="2" t="b">
        <v>0</v>
      </c>
      <c r="BC53" s="2" t="b">
        <v>0</v>
      </c>
      <c r="BD53" s="2" t="b">
        <v>0</v>
      </c>
      <c r="BE53" s="2" t="b">
        <v>0</v>
      </c>
      <c r="BF53" s="2" t="b">
        <v>0</v>
      </c>
      <c r="BG53" s="2" t="b">
        <v>0</v>
      </c>
      <c r="BH53" s="2" t="b">
        <v>0</v>
      </c>
      <c r="BI53" s="2" t="b">
        <v>0</v>
      </c>
    </row>
    <row r="54" spans="1:61" ht="15" customHeight="1" x14ac:dyDescent="0.25">
      <c r="A54" t="s">
        <v>7</v>
      </c>
      <c r="B54" s="2" t="b">
        <v>0</v>
      </c>
      <c r="C54" s="2" t="b">
        <v>0</v>
      </c>
      <c r="D54" s="2" t="b">
        <v>0</v>
      </c>
      <c r="E54" s="2" t="b">
        <v>0</v>
      </c>
      <c r="F54" s="2" t="b">
        <v>0</v>
      </c>
      <c r="G54" s="2" t="b">
        <v>0</v>
      </c>
      <c r="H54" s="2" t="b">
        <v>0</v>
      </c>
      <c r="I54" s="2" t="b">
        <v>0</v>
      </c>
      <c r="J54" s="2" t="b">
        <v>0</v>
      </c>
      <c r="K54" s="2" t="b">
        <v>0</v>
      </c>
      <c r="L54" s="2" t="b">
        <v>0</v>
      </c>
      <c r="M54" s="2" t="b">
        <v>0</v>
      </c>
      <c r="N54" s="2" t="b">
        <v>0</v>
      </c>
      <c r="O54" s="2" t="b">
        <v>0</v>
      </c>
      <c r="P54" s="2" t="b">
        <v>0</v>
      </c>
      <c r="Q54" s="2" t="b">
        <v>0</v>
      </c>
      <c r="R54" s="2" t="b">
        <v>0</v>
      </c>
      <c r="S54" s="2" t="b">
        <v>0</v>
      </c>
      <c r="T54" s="2" t="b">
        <v>0</v>
      </c>
      <c r="U54" s="2" t="b">
        <v>0</v>
      </c>
      <c r="V54" s="2" t="b">
        <v>0</v>
      </c>
      <c r="W54" s="2" t="b">
        <v>0</v>
      </c>
      <c r="X54" s="2" t="b">
        <v>0</v>
      </c>
      <c r="Y54" s="2" t="b">
        <v>0</v>
      </c>
      <c r="Z54" s="2" t="b">
        <v>0</v>
      </c>
      <c r="AA54" s="2" t="b">
        <v>0</v>
      </c>
      <c r="AB54" s="2" t="b">
        <v>0</v>
      </c>
      <c r="AC54" s="2" t="b">
        <v>0</v>
      </c>
      <c r="AD54" s="2" t="b">
        <v>0</v>
      </c>
      <c r="AE54" s="2" t="b">
        <v>0</v>
      </c>
      <c r="AF54" s="2" t="b">
        <v>0</v>
      </c>
      <c r="AG54" s="2" t="b">
        <v>0</v>
      </c>
      <c r="AH54" s="2" t="b">
        <v>0</v>
      </c>
      <c r="AI54" s="2" t="b">
        <v>0</v>
      </c>
      <c r="AJ54" s="2" t="b">
        <v>0</v>
      </c>
      <c r="AK54" s="2" t="b">
        <v>0</v>
      </c>
      <c r="AL54" s="2" t="b">
        <v>0</v>
      </c>
      <c r="AM54" s="2" t="b">
        <v>0</v>
      </c>
      <c r="AN54" s="2" t="b">
        <v>0</v>
      </c>
      <c r="AO54" s="2" t="b">
        <v>0</v>
      </c>
      <c r="AP54" s="2" t="b">
        <v>0</v>
      </c>
      <c r="AQ54" s="2" t="b">
        <v>0</v>
      </c>
      <c r="AR54" s="2" t="b">
        <v>0</v>
      </c>
      <c r="AS54" s="2" t="b">
        <v>0</v>
      </c>
      <c r="AT54" s="2" t="b">
        <v>0</v>
      </c>
      <c r="AU54" s="2" t="b">
        <v>0</v>
      </c>
      <c r="AV54" s="2" t="b">
        <v>0</v>
      </c>
      <c r="AW54" s="2" t="b">
        <v>0</v>
      </c>
      <c r="AX54" s="2" t="b">
        <v>0</v>
      </c>
      <c r="AY54" s="2" t="b">
        <v>0</v>
      </c>
      <c r="AZ54" s="2" t="b">
        <v>0</v>
      </c>
      <c r="BA54" s="2" t="b">
        <v>0</v>
      </c>
      <c r="BB54" s="2" t="b">
        <v>0</v>
      </c>
      <c r="BC54" s="2" t="b">
        <v>0</v>
      </c>
      <c r="BD54" s="2" t="b">
        <v>0</v>
      </c>
      <c r="BE54" s="2" t="b">
        <v>0</v>
      </c>
      <c r="BF54" s="2" t="b">
        <v>0</v>
      </c>
      <c r="BG54" s="2" t="b">
        <v>0</v>
      </c>
      <c r="BH54" s="2" t="b">
        <v>0</v>
      </c>
      <c r="BI54" s="2" t="b">
        <v>0</v>
      </c>
    </row>
    <row r="55" spans="1:61" ht="15" customHeight="1" x14ac:dyDescent="0.25">
      <c r="A55" t="s">
        <v>8</v>
      </c>
      <c r="B55" s="2" t="b">
        <v>0</v>
      </c>
      <c r="C55" s="2" t="b">
        <v>0</v>
      </c>
      <c r="D55" s="2" t="b">
        <v>0</v>
      </c>
      <c r="E55" s="2" t="b">
        <v>0</v>
      </c>
      <c r="F55" s="2" t="b">
        <v>0</v>
      </c>
      <c r="G55" s="2" t="b">
        <v>0</v>
      </c>
      <c r="H55" s="2" t="b">
        <v>0</v>
      </c>
      <c r="I55" s="2" t="b">
        <v>0</v>
      </c>
      <c r="J55" s="2" t="b">
        <v>0</v>
      </c>
      <c r="K55" s="2" t="b">
        <v>0</v>
      </c>
      <c r="L55" s="2" t="b">
        <v>0</v>
      </c>
      <c r="M55" s="2" t="b">
        <v>0</v>
      </c>
      <c r="N55" s="2" t="b">
        <v>0</v>
      </c>
      <c r="O55" s="2" t="b">
        <v>0</v>
      </c>
      <c r="P55" s="2" t="b">
        <v>0</v>
      </c>
      <c r="Q55" s="2" t="b">
        <v>0</v>
      </c>
      <c r="R55" s="2" t="b">
        <v>0</v>
      </c>
      <c r="S55" s="2" t="b">
        <v>0</v>
      </c>
      <c r="T55" s="2" t="b">
        <v>0</v>
      </c>
      <c r="U55" s="2" t="b">
        <v>0</v>
      </c>
      <c r="V55" s="2" t="b">
        <v>0</v>
      </c>
      <c r="W55" s="2" t="b">
        <v>0</v>
      </c>
      <c r="X55" s="2" t="b">
        <v>0</v>
      </c>
      <c r="Y55" s="2" t="b">
        <v>0</v>
      </c>
      <c r="Z55" s="2" t="b">
        <v>0</v>
      </c>
      <c r="AA55" s="2" t="b">
        <v>0</v>
      </c>
      <c r="AB55" s="2" t="b">
        <v>0</v>
      </c>
      <c r="AC55" s="2" t="b">
        <v>0</v>
      </c>
      <c r="AD55" s="2" t="b">
        <v>0</v>
      </c>
      <c r="AE55" s="2" t="b">
        <v>0</v>
      </c>
      <c r="AF55" s="2" t="b">
        <v>0</v>
      </c>
      <c r="AG55" s="2" t="b">
        <v>0</v>
      </c>
      <c r="AH55" s="2" t="b">
        <v>0</v>
      </c>
      <c r="AI55" s="2" t="b">
        <v>0</v>
      </c>
      <c r="AJ55" s="2" t="b">
        <v>0</v>
      </c>
      <c r="AK55" s="2" t="b">
        <v>0</v>
      </c>
      <c r="AL55" s="2" t="b">
        <v>0</v>
      </c>
      <c r="AM55" s="2" t="b">
        <v>0</v>
      </c>
      <c r="AN55" s="2" t="b">
        <v>0</v>
      </c>
      <c r="AO55" s="2" t="b">
        <v>0</v>
      </c>
      <c r="AP55" s="2" t="b">
        <v>0</v>
      </c>
      <c r="AQ55" s="2" t="b">
        <v>0</v>
      </c>
      <c r="AR55" s="2" t="b">
        <v>0</v>
      </c>
      <c r="AS55" s="2" t="b">
        <v>0</v>
      </c>
      <c r="AT55" s="2" t="b">
        <v>0</v>
      </c>
      <c r="AU55" s="2" t="b">
        <v>0</v>
      </c>
      <c r="AV55" s="2" t="b">
        <v>0</v>
      </c>
      <c r="AW55" s="2" t="b">
        <v>0</v>
      </c>
      <c r="AX55" s="2" t="b">
        <v>0</v>
      </c>
      <c r="AY55" s="2" t="b">
        <v>0</v>
      </c>
      <c r="AZ55" s="2" t="b">
        <v>0</v>
      </c>
      <c r="BA55" s="2" t="b">
        <v>0</v>
      </c>
      <c r="BB55" s="2" t="b">
        <v>0</v>
      </c>
      <c r="BC55" s="2" t="b">
        <v>0</v>
      </c>
      <c r="BD55" s="2" t="b">
        <v>0</v>
      </c>
      <c r="BE55" s="2" t="b">
        <v>0</v>
      </c>
      <c r="BF55" s="2" t="b">
        <v>0</v>
      </c>
      <c r="BG55" s="2" t="b">
        <v>0</v>
      </c>
      <c r="BH55" s="2" t="b">
        <v>0</v>
      </c>
      <c r="BI55" s="2" t="b">
        <v>0</v>
      </c>
    </row>
    <row r="56" spans="1:61" ht="15" customHeight="1" x14ac:dyDescent="0.25">
      <c r="A56" t="s">
        <v>9</v>
      </c>
      <c r="B56" s="2" t="b">
        <v>0</v>
      </c>
      <c r="C56" s="2" t="b">
        <v>0</v>
      </c>
      <c r="D56" s="2" t="b">
        <v>0</v>
      </c>
      <c r="E56" s="2" t="b">
        <v>0</v>
      </c>
      <c r="F56" s="2" t="b">
        <v>0</v>
      </c>
      <c r="G56" s="2" t="b">
        <v>0</v>
      </c>
      <c r="H56" s="2" t="b">
        <v>0</v>
      </c>
      <c r="I56" s="2" t="b">
        <v>0</v>
      </c>
      <c r="J56" s="2" t="b">
        <v>0</v>
      </c>
      <c r="K56" s="2" t="b">
        <v>0</v>
      </c>
      <c r="L56" s="2" t="b">
        <v>0</v>
      </c>
      <c r="M56" s="2" t="b">
        <v>0</v>
      </c>
      <c r="N56" s="2" t="b">
        <v>0</v>
      </c>
      <c r="O56" s="2" t="b">
        <v>0</v>
      </c>
      <c r="P56" s="2" t="b">
        <v>0</v>
      </c>
      <c r="Q56" s="2" t="b">
        <v>0</v>
      </c>
      <c r="R56" s="2" t="b">
        <v>0</v>
      </c>
      <c r="S56" s="2" t="b">
        <v>0</v>
      </c>
      <c r="T56" s="2" t="b">
        <v>0</v>
      </c>
      <c r="U56" s="2" t="b">
        <v>0</v>
      </c>
      <c r="V56" s="2" t="b">
        <v>0</v>
      </c>
      <c r="W56" s="2" t="b">
        <v>0</v>
      </c>
      <c r="X56" s="2" t="b">
        <v>0</v>
      </c>
      <c r="Y56" s="2" t="b">
        <v>0</v>
      </c>
      <c r="Z56" s="2" t="b">
        <v>0</v>
      </c>
      <c r="AA56" s="2" t="b">
        <v>0</v>
      </c>
      <c r="AB56" s="2" t="b">
        <v>0</v>
      </c>
      <c r="AC56" s="2" t="b">
        <v>0</v>
      </c>
      <c r="AD56" s="2" t="b">
        <v>0</v>
      </c>
      <c r="AE56" s="2" t="b">
        <v>0</v>
      </c>
      <c r="AF56" s="2" t="b">
        <v>0</v>
      </c>
      <c r="AG56" s="2" t="b">
        <v>0</v>
      </c>
      <c r="AH56" s="2" t="b">
        <v>0</v>
      </c>
      <c r="AI56" s="2" t="b">
        <v>0</v>
      </c>
      <c r="AJ56" s="2" t="b">
        <v>0</v>
      </c>
      <c r="AK56" s="2" t="b">
        <v>0</v>
      </c>
      <c r="AL56" s="2" t="b">
        <v>0</v>
      </c>
      <c r="AM56" s="2" t="b">
        <v>0</v>
      </c>
      <c r="AN56" s="2" t="b">
        <v>0</v>
      </c>
      <c r="AO56" s="2" t="b">
        <v>0</v>
      </c>
      <c r="AP56" s="2" t="b">
        <v>0</v>
      </c>
      <c r="AQ56" s="2" t="b">
        <v>0</v>
      </c>
      <c r="AR56" s="2" t="b">
        <v>0</v>
      </c>
      <c r="AS56" s="2" t="b">
        <v>0</v>
      </c>
      <c r="AT56" s="2" t="b">
        <v>0</v>
      </c>
      <c r="AU56" s="2" t="b">
        <v>0</v>
      </c>
      <c r="AV56" s="2" t="b">
        <v>0</v>
      </c>
      <c r="AW56" s="2" t="b">
        <v>0</v>
      </c>
      <c r="AX56" s="2" t="b">
        <v>0</v>
      </c>
      <c r="AY56" s="2" t="b">
        <v>0</v>
      </c>
      <c r="AZ56" s="2" t="b">
        <v>0</v>
      </c>
      <c r="BA56" s="2" t="b">
        <v>0</v>
      </c>
      <c r="BB56" s="2" t="b">
        <v>0</v>
      </c>
      <c r="BC56" s="2" t="b">
        <v>0</v>
      </c>
      <c r="BD56" s="2" t="b">
        <v>0</v>
      </c>
      <c r="BE56" s="2" t="b">
        <v>0</v>
      </c>
      <c r="BF56" s="2" t="b">
        <v>0</v>
      </c>
      <c r="BG56" s="2" t="b">
        <v>0</v>
      </c>
      <c r="BH56" s="2" t="b">
        <v>0</v>
      </c>
      <c r="BI56" s="2" t="b">
        <v>0</v>
      </c>
    </row>
    <row r="57" spans="1:61" ht="15" customHeight="1" x14ac:dyDescent="0.25">
      <c r="A57" t="s">
        <v>10</v>
      </c>
      <c r="B57" s="2" t="b">
        <v>0</v>
      </c>
      <c r="C57" s="2" t="b">
        <v>0</v>
      </c>
      <c r="D57" s="2" t="b">
        <v>0</v>
      </c>
      <c r="E57" s="2" t="b">
        <v>0</v>
      </c>
      <c r="F57" s="2" t="b">
        <v>0</v>
      </c>
      <c r="G57" s="2" t="b">
        <v>0</v>
      </c>
      <c r="H57" s="2" t="b">
        <v>0</v>
      </c>
      <c r="I57" s="2" t="b">
        <v>0</v>
      </c>
      <c r="J57" s="2" t="b">
        <v>0</v>
      </c>
      <c r="K57" s="2" t="b">
        <v>0</v>
      </c>
      <c r="L57" s="2" t="b">
        <v>0</v>
      </c>
      <c r="M57" s="2" t="b">
        <v>0</v>
      </c>
      <c r="N57" s="2" t="b">
        <v>0</v>
      </c>
      <c r="O57" s="2" t="b">
        <v>0</v>
      </c>
      <c r="P57" s="2" t="b">
        <v>0</v>
      </c>
      <c r="Q57" s="2" t="b">
        <v>0</v>
      </c>
      <c r="R57" s="2" t="b">
        <v>0</v>
      </c>
      <c r="S57" s="2" t="b">
        <v>0</v>
      </c>
      <c r="T57" s="2" t="b">
        <v>0</v>
      </c>
      <c r="U57" s="2" t="b">
        <v>0</v>
      </c>
      <c r="V57" s="2" t="b">
        <v>0</v>
      </c>
      <c r="W57" s="2" t="b">
        <v>0</v>
      </c>
      <c r="X57" s="2" t="b">
        <v>0</v>
      </c>
      <c r="Y57" s="2" t="b">
        <v>0</v>
      </c>
      <c r="Z57" s="2" t="b">
        <v>0</v>
      </c>
      <c r="AA57" s="2" t="b">
        <v>0</v>
      </c>
      <c r="AB57" s="2" t="b">
        <v>0</v>
      </c>
      <c r="AC57" s="2" t="b">
        <v>0</v>
      </c>
      <c r="AD57" s="2" t="b">
        <v>0</v>
      </c>
      <c r="AE57" s="2" t="b">
        <v>0</v>
      </c>
      <c r="AF57" s="2" t="b">
        <v>0</v>
      </c>
      <c r="AG57" s="2" t="b">
        <v>0</v>
      </c>
      <c r="AH57" s="2" t="b">
        <v>0</v>
      </c>
      <c r="AI57" s="2" t="b">
        <v>0</v>
      </c>
      <c r="AJ57" s="2" t="b">
        <v>0</v>
      </c>
      <c r="AK57" s="2" t="b">
        <v>0</v>
      </c>
      <c r="AL57" s="2" t="b">
        <v>0</v>
      </c>
      <c r="AM57" s="2" t="b">
        <v>0</v>
      </c>
      <c r="AN57" s="2" t="b">
        <v>0</v>
      </c>
      <c r="AO57" s="2" t="b">
        <v>0</v>
      </c>
      <c r="AP57" s="2" t="b">
        <v>0</v>
      </c>
      <c r="AQ57" s="2" t="b">
        <v>0</v>
      </c>
      <c r="AR57" s="2" t="b">
        <v>0</v>
      </c>
      <c r="AS57" s="2" t="b">
        <v>0</v>
      </c>
      <c r="AT57" s="2" t="b">
        <v>0</v>
      </c>
      <c r="AU57" s="2" t="b">
        <v>0</v>
      </c>
      <c r="AV57" s="2" t="b">
        <v>0</v>
      </c>
      <c r="AW57" s="2" t="b">
        <v>0</v>
      </c>
      <c r="AX57" s="2" t="b">
        <v>0</v>
      </c>
      <c r="AY57" s="2" t="b">
        <v>0</v>
      </c>
      <c r="AZ57" s="2" t="b">
        <v>0</v>
      </c>
      <c r="BA57" s="2" t="b">
        <v>0</v>
      </c>
      <c r="BB57" s="2" t="b">
        <v>0</v>
      </c>
      <c r="BC57" s="2" t="b">
        <v>0</v>
      </c>
      <c r="BD57" s="2" t="b">
        <v>0</v>
      </c>
      <c r="BE57" s="2" t="b">
        <v>0</v>
      </c>
      <c r="BF57" s="2" t="b">
        <v>0</v>
      </c>
      <c r="BG57" s="2" t="b">
        <v>0</v>
      </c>
      <c r="BH57" s="2" t="b">
        <v>0</v>
      </c>
      <c r="BI57" s="2" t="b">
        <v>0</v>
      </c>
    </row>
    <row r="58" spans="1:61" ht="15" customHeight="1" x14ac:dyDescent="0.25">
      <c r="A58" t="s">
        <v>11</v>
      </c>
      <c r="B58" s="2" t="b">
        <v>0</v>
      </c>
      <c r="C58" s="2" t="b">
        <v>0</v>
      </c>
      <c r="D58" s="2" t="b">
        <v>0</v>
      </c>
      <c r="E58" s="2" t="b">
        <v>0</v>
      </c>
      <c r="F58" s="2" t="b">
        <v>0</v>
      </c>
      <c r="G58" s="2" t="b">
        <v>0</v>
      </c>
      <c r="H58" s="2" t="b">
        <v>0</v>
      </c>
      <c r="I58" s="2" t="b">
        <v>0</v>
      </c>
      <c r="J58" s="2" t="b">
        <v>0</v>
      </c>
      <c r="K58" s="2" t="b">
        <v>0</v>
      </c>
      <c r="L58" s="2" t="b">
        <v>0</v>
      </c>
      <c r="M58" s="2" t="b">
        <v>0</v>
      </c>
      <c r="N58" s="2" t="b">
        <v>0</v>
      </c>
      <c r="O58" s="2" t="b">
        <v>0</v>
      </c>
      <c r="P58" s="2" t="b">
        <v>0</v>
      </c>
      <c r="Q58" s="2" t="b">
        <v>0</v>
      </c>
      <c r="R58" s="2" t="b">
        <v>0</v>
      </c>
      <c r="S58" s="2" t="b">
        <v>0</v>
      </c>
      <c r="T58" s="2" t="b">
        <v>0</v>
      </c>
      <c r="U58" s="2" t="b">
        <v>0</v>
      </c>
      <c r="V58" s="2" t="b">
        <v>0</v>
      </c>
      <c r="W58" s="2" t="b">
        <v>0</v>
      </c>
      <c r="X58" s="2" t="b">
        <v>0</v>
      </c>
      <c r="Y58" s="2" t="b">
        <v>0</v>
      </c>
      <c r="Z58" s="2" t="b">
        <v>0</v>
      </c>
      <c r="AA58" s="2" t="b">
        <v>0</v>
      </c>
      <c r="AB58" s="2" t="b">
        <v>0</v>
      </c>
      <c r="AC58" s="2" t="b">
        <v>0</v>
      </c>
      <c r="AD58" s="2" t="b">
        <v>0</v>
      </c>
      <c r="AE58" s="2" t="b">
        <v>0</v>
      </c>
      <c r="AF58" s="2" t="b">
        <v>0</v>
      </c>
      <c r="AG58" s="2" t="b">
        <v>0</v>
      </c>
      <c r="AH58" s="2" t="b">
        <v>0</v>
      </c>
      <c r="AI58" s="2" t="b">
        <v>0</v>
      </c>
      <c r="AJ58" s="2" t="b">
        <v>0</v>
      </c>
      <c r="AK58" s="2" t="b">
        <v>0</v>
      </c>
      <c r="AL58" s="2" t="b">
        <v>0</v>
      </c>
      <c r="AM58" s="2" t="b">
        <v>0</v>
      </c>
      <c r="AN58" s="2" t="b">
        <v>0</v>
      </c>
      <c r="AO58" s="2" t="b">
        <v>0</v>
      </c>
      <c r="AP58" s="2" t="b">
        <v>0</v>
      </c>
      <c r="AQ58" s="2" t="b">
        <v>0</v>
      </c>
      <c r="AR58" s="2" t="b">
        <v>0</v>
      </c>
      <c r="AS58" s="2" t="b">
        <v>0</v>
      </c>
      <c r="AT58" s="2" t="b">
        <v>0</v>
      </c>
      <c r="AU58" s="2" t="b">
        <v>0</v>
      </c>
      <c r="AV58" s="2" t="b">
        <v>0</v>
      </c>
      <c r="AW58" s="2" t="b">
        <v>0</v>
      </c>
      <c r="AX58" s="2" t="b">
        <v>0</v>
      </c>
      <c r="AY58" s="2" t="b">
        <v>0</v>
      </c>
      <c r="AZ58" s="2" t="b">
        <v>0</v>
      </c>
      <c r="BA58" s="2" t="b">
        <v>0</v>
      </c>
      <c r="BB58" s="2" t="b">
        <v>0</v>
      </c>
      <c r="BC58" s="2" t="b">
        <v>0</v>
      </c>
      <c r="BD58" s="2" t="b">
        <v>0</v>
      </c>
      <c r="BE58" s="2" t="b">
        <v>0</v>
      </c>
      <c r="BF58" s="2" t="b">
        <v>0</v>
      </c>
      <c r="BG58" s="2" t="b">
        <v>0</v>
      </c>
      <c r="BH58" s="2" t="b">
        <v>0</v>
      </c>
      <c r="BI58" s="2" t="b">
        <v>0</v>
      </c>
    </row>
    <row r="59" spans="1:61" ht="15" customHeight="1" x14ac:dyDescent="0.25">
      <c r="A59" s="1" t="s">
        <v>12</v>
      </c>
      <c r="B59" s="2" t="b">
        <v>0</v>
      </c>
      <c r="C59" s="2" t="b">
        <v>0</v>
      </c>
      <c r="D59" s="2" t="b">
        <v>0</v>
      </c>
      <c r="E59" s="2" t="b">
        <v>0</v>
      </c>
      <c r="F59" s="2" t="b">
        <v>0</v>
      </c>
      <c r="G59" s="2" t="b">
        <v>0</v>
      </c>
      <c r="H59" s="2" t="b">
        <v>0</v>
      </c>
      <c r="I59" s="2" t="b">
        <v>0</v>
      </c>
      <c r="J59" s="2" t="b">
        <v>0</v>
      </c>
      <c r="K59" s="2" t="b">
        <v>0</v>
      </c>
      <c r="L59" s="2" t="b">
        <v>0</v>
      </c>
      <c r="M59" s="2" t="b">
        <v>0</v>
      </c>
      <c r="N59" s="2" t="b">
        <v>0</v>
      </c>
      <c r="O59" s="2" t="b">
        <v>0</v>
      </c>
      <c r="P59" s="2" t="b">
        <v>0</v>
      </c>
      <c r="Q59" s="2" t="b">
        <v>0</v>
      </c>
      <c r="R59" s="2" t="b">
        <v>0</v>
      </c>
      <c r="S59" s="2" t="b">
        <v>0</v>
      </c>
      <c r="T59" s="2" t="b">
        <v>0</v>
      </c>
      <c r="U59" s="2" t="b">
        <v>0</v>
      </c>
      <c r="V59" s="2" t="b">
        <v>0</v>
      </c>
      <c r="W59" s="2" t="b">
        <v>0</v>
      </c>
      <c r="X59" s="2" t="b">
        <v>0</v>
      </c>
      <c r="Y59" s="2" t="b">
        <v>0</v>
      </c>
      <c r="Z59" s="2" t="b">
        <v>0</v>
      </c>
      <c r="AA59" s="2" t="b">
        <v>0</v>
      </c>
      <c r="AB59" s="2" t="b">
        <v>0</v>
      </c>
      <c r="AC59" s="2" t="b">
        <v>0</v>
      </c>
      <c r="AD59" s="2" t="b">
        <v>0</v>
      </c>
      <c r="AE59" s="2" t="b">
        <v>0</v>
      </c>
      <c r="AF59" s="2" t="b">
        <v>0</v>
      </c>
      <c r="AG59" s="2" t="b">
        <v>0</v>
      </c>
      <c r="AH59" s="2" t="b">
        <v>0</v>
      </c>
      <c r="AI59" s="2" t="b">
        <v>0</v>
      </c>
      <c r="AJ59" s="2" t="b">
        <v>0</v>
      </c>
      <c r="AK59" s="2" t="b">
        <v>0</v>
      </c>
      <c r="AL59" s="2" t="b">
        <v>0</v>
      </c>
      <c r="AM59" s="2" t="b">
        <v>0</v>
      </c>
      <c r="AN59" s="2" t="b">
        <v>0</v>
      </c>
      <c r="AO59" s="2" t="b">
        <v>0</v>
      </c>
      <c r="AP59" s="2" t="b">
        <v>0</v>
      </c>
      <c r="AQ59" s="2" t="b">
        <v>0</v>
      </c>
      <c r="AR59" s="2" t="b">
        <v>0</v>
      </c>
      <c r="AS59" s="2" t="b">
        <v>0</v>
      </c>
      <c r="AT59" s="2" t="b">
        <v>0</v>
      </c>
      <c r="AU59" s="2" t="b">
        <v>0</v>
      </c>
      <c r="AV59" s="2" t="b">
        <v>0</v>
      </c>
      <c r="AW59" s="2" t="b">
        <v>0</v>
      </c>
      <c r="AX59" s="2" t="b">
        <v>0</v>
      </c>
      <c r="AY59" s="2" t="b">
        <v>0</v>
      </c>
      <c r="AZ59" s="2" t="b">
        <v>0</v>
      </c>
      <c r="BA59" s="2" t="b">
        <v>0</v>
      </c>
      <c r="BB59" s="2" t="b">
        <v>0</v>
      </c>
      <c r="BC59" s="2" t="b">
        <v>0</v>
      </c>
      <c r="BD59" s="2" t="b">
        <v>0</v>
      </c>
      <c r="BE59" s="2" t="b">
        <v>0</v>
      </c>
      <c r="BF59" s="2" t="b">
        <v>0</v>
      </c>
      <c r="BG59" s="2" t="b">
        <v>0</v>
      </c>
      <c r="BH59" s="2" t="b">
        <v>0</v>
      </c>
      <c r="BI59" s="2" t="b">
        <v>0</v>
      </c>
    </row>
    <row r="60" spans="1:61" ht="15" customHeight="1" x14ac:dyDescent="0.25">
      <c r="A60" t="s">
        <v>13</v>
      </c>
      <c r="B60" s="2" t="b">
        <v>0</v>
      </c>
      <c r="C60" s="2" t="b">
        <v>0</v>
      </c>
      <c r="D60" s="2" t="b">
        <v>0</v>
      </c>
      <c r="E60" s="2" t="b">
        <v>0</v>
      </c>
      <c r="F60" s="2" t="b">
        <v>0</v>
      </c>
      <c r="G60" s="2" t="b">
        <v>0</v>
      </c>
      <c r="H60" s="2" t="b">
        <v>0</v>
      </c>
      <c r="I60" s="2" t="b">
        <v>0</v>
      </c>
      <c r="J60" s="2" t="b">
        <v>0</v>
      </c>
      <c r="K60" s="2" t="b">
        <v>0</v>
      </c>
      <c r="L60" s="2" t="b">
        <v>0</v>
      </c>
      <c r="M60" s="2" t="b">
        <v>0</v>
      </c>
      <c r="N60" s="2" t="b">
        <v>0</v>
      </c>
      <c r="O60" s="2" t="b">
        <v>0</v>
      </c>
      <c r="P60" s="2" t="b">
        <v>0</v>
      </c>
      <c r="Q60" s="2" t="b">
        <v>0</v>
      </c>
      <c r="R60" s="2" t="b">
        <v>0</v>
      </c>
      <c r="S60" s="2" t="b">
        <v>0</v>
      </c>
      <c r="T60" s="2" t="b">
        <v>0</v>
      </c>
      <c r="U60" s="2" t="b">
        <v>0</v>
      </c>
      <c r="V60" s="2" t="b">
        <v>0</v>
      </c>
      <c r="W60" s="2" t="b">
        <v>0</v>
      </c>
      <c r="X60" s="2" t="b">
        <v>0</v>
      </c>
      <c r="Y60" s="2" t="b">
        <v>0</v>
      </c>
      <c r="Z60" s="2" t="b">
        <v>0</v>
      </c>
      <c r="AA60" s="2" t="b">
        <v>0</v>
      </c>
      <c r="AB60" s="2" t="b">
        <v>0</v>
      </c>
      <c r="AC60" s="2" t="b">
        <v>0</v>
      </c>
      <c r="AD60" s="2" t="b">
        <v>0</v>
      </c>
      <c r="AE60" s="2" t="b">
        <v>0</v>
      </c>
      <c r="AF60" s="2" t="b">
        <v>0</v>
      </c>
      <c r="AG60" s="2" t="b">
        <v>0</v>
      </c>
      <c r="AH60" s="2" t="b">
        <v>0</v>
      </c>
      <c r="AI60" s="2" t="b">
        <v>0</v>
      </c>
      <c r="AJ60" s="2" t="b">
        <v>0</v>
      </c>
      <c r="AK60" s="2" t="b">
        <v>0</v>
      </c>
      <c r="AL60" s="2" t="b">
        <v>0</v>
      </c>
      <c r="AM60" s="2" t="b">
        <v>0</v>
      </c>
      <c r="AN60" s="2" t="b">
        <v>0</v>
      </c>
      <c r="AO60" s="2" t="b">
        <v>0</v>
      </c>
      <c r="AP60" s="2" t="b">
        <v>0</v>
      </c>
      <c r="AQ60" s="2" t="b">
        <v>0</v>
      </c>
      <c r="AR60" s="2" t="b">
        <v>0</v>
      </c>
      <c r="AS60" s="2" t="b">
        <v>0</v>
      </c>
      <c r="AT60" s="2" t="b">
        <v>0</v>
      </c>
      <c r="AU60" s="2" t="b">
        <v>0</v>
      </c>
      <c r="AV60" s="2" t="b">
        <v>0</v>
      </c>
      <c r="AW60" s="2" t="b">
        <v>0</v>
      </c>
      <c r="AX60" s="2" t="b">
        <v>0</v>
      </c>
      <c r="AY60" s="2" t="b">
        <v>0</v>
      </c>
      <c r="AZ60" s="2" t="b">
        <v>0</v>
      </c>
      <c r="BA60" s="2" t="b">
        <v>0</v>
      </c>
      <c r="BB60" s="2" t="b">
        <v>0</v>
      </c>
      <c r="BC60" s="2" t="b">
        <v>0</v>
      </c>
      <c r="BD60" s="2" t="b">
        <v>0</v>
      </c>
      <c r="BE60" s="2" t="b">
        <v>0</v>
      </c>
      <c r="BF60" s="2" t="b">
        <v>0</v>
      </c>
      <c r="BG60" s="2" t="b">
        <v>0</v>
      </c>
      <c r="BH60" s="2" t="b">
        <v>0</v>
      </c>
      <c r="BI60" s="2" t="b">
        <v>0</v>
      </c>
    </row>
    <row r="61" spans="1:61" ht="15" customHeight="1" x14ac:dyDescent="0.25"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</row>
    <row r="62" spans="1:61" ht="15" customHeight="1" x14ac:dyDescent="0.25"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</row>
    <row r="63" spans="1:61" ht="15" customHeight="1" x14ac:dyDescent="0.25"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</row>
    <row r="64" spans="1:61" ht="15" customHeight="1" x14ac:dyDescent="0.25"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</row>
    <row r="65" spans="2:41" ht="15" customHeight="1" x14ac:dyDescent="0.25"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</row>
    <row r="66" spans="2:41" ht="15" customHeight="1" x14ac:dyDescent="0.25"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</row>
    <row r="67" spans="2:41" ht="15" customHeight="1" x14ac:dyDescent="0.25"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</row>
    <row r="68" spans="2:41" ht="15" customHeight="1" x14ac:dyDescent="0.25"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I60"/>
  <sheetViews>
    <sheetView zoomScaleNormal="100" workbookViewId="0"/>
  </sheetViews>
  <sheetFormatPr defaultColWidth="8.5703125" defaultRowHeight="15" x14ac:dyDescent="0.25"/>
  <cols>
    <col min="1" max="1" width="24" customWidth="1"/>
    <col min="2" max="3" width="20" customWidth="1"/>
    <col min="4" max="4" width="14" customWidth="1"/>
    <col min="5" max="5" width="12" customWidth="1"/>
    <col min="6" max="6" width="20" customWidth="1"/>
    <col min="7" max="41" width="11" customWidth="1"/>
    <col min="42" max="61" width="12" customWidth="1"/>
  </cols>
  <sheetData>
    <row r="1" spans="1:6" ht="15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 t="s">
        <v>6</v>
      </c>
      <c r="B2">
        <v>1</v>
      </c>
      <c r="C2">
        <v>972858.42</v>
      </c>
      <c r="D2">
        <v>415186.6</v>
      </c>
      <c r="E2">
        <v>1535045.6</v>
      </c>
      <c r="F2">
        <v>247026.09489724279</v>
      </c>
    </row>
    <row r="3" spans="1:6" x14ac:dyDescent="0.25">
      <c r="A3" t="s">
        <v>6</v>
      </c>
      <c r="B3">
        <v>2</v>
      </c>
      <c r="C3">
        <v>2387325.2949999999</v>
      </c>
      <c r="D3">
        <v>1770079.1</v>
      </c>
      <c r="E3">
        <v>2933148.4</v>
      </c>
      <c r="F3">
        <v>331139.52349999762</v>
      </c>
    </row>
    <row r="4" spans="1:6" x14ac:dyDescent="0.25">
      <c r="A4" t="s">
        <v>6</v>
      </c>
      <c r="B4">
        <v>3</v>
      </c>
      <c r="C4">
        <v>31498970.600000001</v>
      </c>
      <c r="D4">
        <v>23880867</v>
      </c>
      <c r="E4">
        <v>36422136.799999997</v>
      </c>
      <c r="F4">
        <v>2842641.9634835632</v>
      </c>
    </row>
    <row r="5" spans="1:6" x14ac:dyDescent="0.25">
      <c r="A5" t="s">
        <v>7</v>
      </c>
      <c r="B5">
        <v>1</v>
      </c>
      <c r="C5">
        <v>929020.7</v>
      </c>
      <c r="D5">
        <v>319123.90000000002</v>
      </c>
      <c r="E5">
        <v>1477602.1</v>
      </c>
      <c r="F5">
        <v>281727.82783700479</v>
      </c>
    </row>
    <row r="6" spans="1:6" x14ac:dyDescent="0.25">
      <c r="A6" t="s">
        <v>7</v>
      </c>
      <c r="B6">
        <v>2</v>
      </c>
      <c r="C6">
        <v>2260934.0550000002</v>
      </c>
      <c r="D6">
        <v>1308230.5</v>
      </c>
      <c r="E6">
        <v>2914803.7</v>
      </c>
      <c r="F6">
        <v>434257.21824121411</v>
      </c>
    </row>
    <row r="7" spans="1:6" x14ac:dyDescent="0.25">
      <c r="A7" t="s">
        <v>7</v>
      </c>
      <c r="B7">
        <v>3</v>
      </c>
      <c r="C7">
        <v>30033409.074999999</v>
      </c>
      <c r="D7">
        <v>23475501.899999999</v>
      </c>
      <c r="E7">
        <v>35727960.200000003</v>
      </c>
      <c r="F7">
        <v>3074374.768084629</v>
      </c>
    </row>
    <row r="8" spans="1:6" x14ac:dyDescent="0.25">
      <c r="A8" t="s">
        <v>8</v>
      </c>
      <c r="B8">
        <v>1</v>
      </c>
      <c r="C8">
        <v>1501358.1</v>
      </c>
      <c r="D8">
        <v>1501358.1</v>
      </c>
      <c r="E8">
        <v>1501358.1</v>
      </c>
      <c r="F8">
        <v>0</v>
      </c>
    </row>
    <row r="9" spans="1:6" x14ac:dyDescent="0.25">
      <c r="A9" t="s">
        <v>8</v>
      </c>
      <c r="B9">
        <v>2</v>
      </c>
      <c r="C9">
        <v>3572194.6</v>
      </c>
      <c r="D9">
        <v>3572194.6</v>
      </c>
      <c r="E9">
        <v>3572194.6</v>
      </c>
      <c r="F9">
        <v>0</v>
      </c>
    </row>
    <row r="10" spans="1:6" x14ac:dyDescent="0.25">
      <c r="A10" t="s">
        <v>8</v>
      </c>
      <c r="B10">
        <v>3</v>
      </c>
      <c r="C10">
        <v>33833239.700000003</v>
      </c>
      <c r="D10">
        <v>33833239.700000003</v>
      </c>
      <c r="E10">
        <v>33833239.700000003</v>
      </c>
      <c r="F10">
        <v>0</v>
      </c>
    </row>
    <row r="11" spans="1:6" x14ac:dyDescent="0.25">
      <c r="A11" t="s">
        <v>9</v>
      </c>
      <c r="B11">
        <v>1</v>
      </c>
      <c r="C11">
        <v>1383181.085</v>
      </c>
      <c r="D11">
        <v>912777.3</v>
      </c>
      <c r="E11">
        <v>1663169.4</v>
      </c>
      <c r="F11">
        <v>236305.03790805279</v>
      </c>
    </row>
    <row r="12" spans="1:6" ht="15" customHeight="1" x14ac:dyDescent="0.25">
      <c r="A12" s="1" t="s">
        <v>9</v>
      </c>
      <c r="B12">
        <v>2</v>
      </c>
      <c r="C12">
        <v>3432568.645</v>
      </c>
      <c r="D12">
        <v>2700623.5</v>
      </c>
      <c r="E12">
        <v>3884279.1</v>
      </c>
      <c r="F12">
        <v>345252.65522687649</v>
      </c>
    </row>
    <row r="13" spans="1:6" x14ac:dyDescent="0.25">
      <c r="A13" t="s">
        <v>9</v>
      </c>
      <c r="B13">
        <v>3</v>
      </c>
      <c r="C13">
        <v>33488244.109999999</v>
      </c>
      <c r="D13">
        <v>30470025.300000001</v>
      </c>
      <c r="E13">
        <v>36418128.299999997</v>
      </c>
      <c r="F13">
        <v>1726767.759960938</v>
      </c>
    </row>
    <row r="14" spans="1:6" x14ac:dyDescent="0.25">
      <c r="A14" t="s">
        <v>10</v>
      </c>
      <c r="B14">
        <v>1</v>
      </c>
      <c r="C14">
        <v>1530822.64</v>
      </c>
      <c r="D14">
        <v>1477112.6</v>
      </c>
      <c r="E14">
        <v>1591878.8</v>
      </c>
      <c r="F14">
        <v>31213.846332459569</v>
      </c>
    </row>
    <row r="15" spans="1:6" x14ac:dyDescent="0.25">
      <c r="A15" t="s">
        <v>10</v>
      </c>
      <c r="B15">
        <v>2</v>
      </c>
      <c r="C15">
        <v>3497908.0249999999</v>
      </c>
      <c r="D15">
        <v>2887874.1</v>
      </c>
      <c r="E15">
        <v>3890823.5</v>
      </c>
      <c r="F15">
        <v>303134.63962545572</v>
      </c>
    </row>
    <row r="16" spans="1:6" x14ac:dyDescent="0.25">
      <c r="A16" t="s">
        <v>10</v>
      </c>
      <c r="B16">
        <v>3</v>
      </c>
      <c r="C16">
        <v>33911448.314999998</v>
      </c>
      <c r="D16">
        <v>29658595.300000001</v>
      </c>
      <c r="E16">
        <v>37944246</v>
      </c>
      <c r="F16">
        <v>2336818.6384179788</v>
      </c>
    </row>
    <row r="17" spans="1:6" x14ac:dyDescent="0.25">
      <c r="A17" t="s">
        <v>11</v>
      </c>
      <c r="B17">
        <v>1</v>
      </c>
      <c r="C17">
        <v>1557203.59</v>
      </c>
      <c r="D17">
        <v>1270689.5</v>
      </c>
      <c r="E17">
        <v>1770290.6</v>
      </c>
      <c r="F17">
        <v>140788.9609283054</v>
      </c>
    </row>
    <row r="18" spans="1:6" x14ac:dyDescent="0.25">
      <c r="A18" t="s">
        <v>11</v>
      </c>
      <c r="B18">
        <v>2</v>
      </c>
      <c r="C18">
        <v>3337088.5950000002</v>
      </c>
      <c r="D18">
        <v>2592172.1</v>
      </c>
      <c r="E18">
        <v>3972176</v>
      </c>
      <c r="F18">
        <v>404139.4896563518</v>
      </c>
    </row>
    <row r="19" spans="1:6" x14ac:dyDescent="0.25">
      <c r="A19" t="s">
        <v>11</v>
      </c>
      <c r="B19">
        <v>3</v>
      </c>
      <c r="C19">
        <v>34032054.905000001</v>
      </c>
      <c r="D19">
        <v>30423400.699999999</v>
      </c>
      <c r="E19">
        <v>37420660.600000001</v>
      </c>
      <c r="F19">
        <v>2049745.6046803601</v>
      </c>
    </row>
    <row r="20" spans="1:6" ht="15" customHeight="1" x14ac:dyDescent="0.25">
      <c r="A20" s="1" t="s">
        <v>12</v>
      </c>
      <c r="B20">
        <v>1</v>
      </c>
      <c r="C20">
        <v>1538446.95</v>
      </c>
      <c r="D20">
        <v>1301774.3999999999</v>
      </c>
      <c r="E20">
        <v>1682998.9</v>
      </c>
      <c r="F20">
        <v>116477.8578057328</v>
      </c>
    </row>
    <row r="21" spans="1:6" x14ac:dyDescent="0.25">
      <c r="A21" t="s">
        <v>12</v>
      </c>
      <c r="B21">
        <v>2</v>
      </c>
      <c r="C21">
        <v>3339104.04</v>
      </c>
      <c r="D21">
        <v>2395189.2999999998</v>
      </c>
      <c r="E21">
        <v>3851293.8</v>
      </c>
      <c r="F21">
        <v>353344.92519602209</v>
      </c>
    </row>
    <row r="22" spans="1:6" x14ac:dyDescent="0.25">
      <c r="A22" t="s">
        <v>12</v>
      </c>
      <c r="B22">
        <v>3</v>
      </c>
      <c r="C22">
        <v>33385527.515000001</v>
      </c>
      <c r="D22">
        <v>28973907.199999999</v>
      </c>
      <c r="E22">
        <v>37385825.399999999</v>
      </c>
      <c r="F22">
        <v>2324880.5775381182</v>
      </c>
    </row>
    <row r="23" spans="1:6" ht="15" customHeight="1" x14ac:dyDescent="0.25">
      <c r="A23" s="1" t="s">
        <v>13</v>
      </c>
      <c r="B23">
        <v>1</v>
      </c>
      <c r="C23">
        <v>1473353.0449999999</v>
      </c>
      <c r="D23">
        <v>931011.6</v>
      </c>
      <c r="E23">
        <v>1716377.1</v>
      </c>
      <c r="F23">
        <v>187473.04489666631</v>
      </c>
    </row>
    <row r="24" spans="1:6" x14ac:dyDescent="0.25">
      <c r="A24" t="s">
        <v>13</v>
      </c>
      <c r="B24">
        <v>2</v>
      </c>
      <c r="C24">
        <v>3422571.48</v>
      </c>
      <c r="D24">
        <v>2625118.2000000002</v>
      </c>
      <c r="E24">
        <v>3980550.4</v>
      </c>
      <c r="F24">
        <v>378617.84050622809</v>
      </c>
    </row>
    <row r="25" spans="1:6" x14ac:dyDescent="0.25">
      <c r="A25" t="s">
        <v>13</v>
      </c>
      <c r="B25">
        <v>3</v>
      </c>
      <c r="C25">
        <v>33893024.990000002</v>
      </c>
      <c r="D25">
        <v>29538203.399999999</v>
      </c>
      <c r="E25">
        <v>37245402.5</v>
      </c>
      <c r="F25">
        <v>1876147.160530762</v>
      </c>
    </row>
    <row r="28" spans="1:6" ht="15" customHeight="1" x14ac:dyDescent="0.25">
      <c r="A28" s="4" t="s">
        <v>14</v>
      </c>
    </row>
    <row r="29" spans="1:6" x14ac:dyDescent="0.25">
      <c r="A29" t="s">
        <v>6</v>
      </c>
      <c r="C29">
        <v>11619718.105</v>
      </c>
      <c r="D29">
        <v>415186.6</v>
      </c>
      <c r="E29">
        <v>36422136.799999997</v>
      </c>
      <c r="F29">
        <v>14166023.51306726</v>
      </c>
    </row>
    <row r="30" spans="1:6" x14ac:dyDescent="0.25">
      <c r="A30" t="s">
        <v>7</v>
      </c>
      <c r="C30">
        <v>11074454.609999999</v>
      </c>
      <c r="D30">
        <v>319123.90000000002</v>
      </c>
      <c r="E30">
        <v>35727960.200000003</v>
      </c>
      <c r="F30">
        <v>13537228.40068252</v>
      </c>
    </row>
    <row r="31" spans="1:6" ht="15" customHeight="1" x14ac:dyDescent="0.25">
      <c r="A31" s="1" t="s">
        <v>8</v>
      </c>
      <c r="C31">
        <v>12968930.800000001</v>
      </c>
      <c r="D31">
        <v>1501358.1</v>
      </c>
      <c r="E31">
        <v>33833239.700000003</v>
      </c>
      <c r="F31">
        <v>14777497.089796079</v>
      </c>
    </row>
    <row r="32" spans="1:6" x14ac:dyDescent="0.25">
      <c r="A32" t="s">
        <v>9</v>
      </c>
      <c r="C32">
        <v>12767997.946666669</v>
      </c>
      <c r="D32">
        <v>912777.3</v>
      </c>
      <c r="E32">
        <v>36418128.299999997</v>
      </c>
      <c r="F32">
        <v>14711103.093162419</v>
      </c>
    </row>
    <row r="33" spans="1:6" x14ac:dyDescent="0.25">
      <c r="A33" t="s">
        <v>10</v>
      </c>
      <c r="C33">
        <v>12980059.66</v>
      </c>
      <c r="D33">
        <v>1477112.6</v>
      </c>
      <c r="E33">
        <v>37944246</v>
      </c>
      <c r="F33">
        <v>14884811.556961181</v>
      </c>
    </row>
    <row r="34" spans="1:6" x14ac:dyDescent="0.25">
      <c r="A34" t="s">
        <v>11</v>
      </c>
      <c r="C34">
        <v>12975449.029999999</v>
      </c>
      <c r="D34">
        <v>1270689.5</v>
      </c>
      <c r="E34">
        <v>37420660.600000001</v>
      </c>
      <c r="F34">
        <v>14955930.58601018</v>
      </c>
    </row>
    <row r="35" spans="1:6" ht="15" customHeight="1" x14ac:dyDescent="0.25">
      <c r="A35" s="1" t="s">
        <v>12</v>
      </c>
      <c r="C35">
        <v>12754359.501666671</v>
      </c>
      <c r="D35">
        <v>1301774.3999999999</v>
      </c>
      <c r="E35">
        <v>37385825.399999999</v>
      </c>
      <c r="F35">
        <v>14670063.76715068</v>
      </c>
    </row>
    <row r="36" spans="1:6" ht="15" customHeight="1" x14ac:dyDescent="0.25">
      <c r="A36" s="1" t="s">
        <v>13</v>
      </c>
      <c r="C36">
        <v>12929649.838333329</v>
      </c>
      <c r="D36">
        <v>931011.6</v>
      </c>
      <c r="E36">
        <v>37245402.5</v>
      </c>
      <c r="F36">
        <v>14886154.626112871</v>
      </c>
    </row>
    <row r="39" spans="1:6" ht="15" customHeight="1" x14ac:dyDescent="0.25">
      <c r="A39" s="4" t="s">
        <v>15</v>
      </c>
    </row>
    <row r="40" spans="1:6" x14ac:dyDescent="0.25">
      <c r="A40" t="s">
        <v>16</v>
      </c>
      <c r="B40">
        <v>1</v>
      </c>
      <c r="C40">
        <v>2</v>
      </c>
      <c r="D40">
        <v>3</v>
      </c>
    </row>
    <row r="41" spans="1:6" x14ac:dyDescent="0.25">
      <c r="A41" t="s">
        <v>6</v>
      </c>
      <c r="B41">
        <v>972858.42</v>
      </c>
      <c r="C41">
        <v>2387325.2949999999</v>
      </c>
      <c r="D41">
        <v>31498970.600000001</v>
      </c>
    </row>
    <row r="42" spans="1:6" x14ac:dyDescent="0.25">
      <c r="A42" t="s">
        <v>7</v>
      </c>
      <c r="B42">
        <v>929020.7</v>
      </c>
      <c r="C42">
        <v>2260934.0550000002</v>
      </c>
      <c r="D42">
        <v>30033409.074999999</v>
      </c>
    </row>
    <row r="43" spans="1:6" ht="15" customHeight="1" x14ac:dyDescent="0.25">
      <c r="A43" s="1" t="s">
        <v>8</v>
      </c>
      <c r="B43">
        <v>1501358.1</v>
      </c>
      <c r="C43">
        <v>3572194.6</v>
      </c>
      <c r="D43">
        <v>33833239.700000003</v>
      </c>
    </row>
    <row r="44" spans="1:6" x14ac:dyDescent="0.25">
      <c r="A44" t="s">
        <v>9</v>
      </c>
      <c r="B44">
        <v>1383181.085</v>
      </c>
      <c r="C44">
        <v>3432568.645</v>
      </c>
      <c r="D44">
        <v>33488244.109999999</v>
      </c>
    </row>
    <row r="45" spans="1:6" x14ac:dyDescent="0.25">
      <c r="A45" t="s">
        <v>10</v>
      </c>
      <c r="B45">
        <v>1530822.64</v>
      </c>
      <c r="C45">
        <v>3497908.0249999999</v>
      </c>
      <c r="D45">
        <v>33911448.314999998</v>
      </c>
    </row>
    <row r="46" spans="1:6" x14ac:dyDescent="0.25">
      <c r="A46" t="s">
        <v>11</v>
      </c>
      <c r="B46">
        <v>1557203.59</v>
      </c>
      <c r="C46">
        <v>3337088.5950000002</v>
      </c>
      <c r="D46">
        <v>34032054.905000001</v>
      </c>
    </row>
    <row r="47" spans="1:6" ht="15" customHeight="1" x14ac:dyDescent="0.25">
      <c r="A47" s="1" t="s">
        <v>12</v>
      </c>
      <c r="B47">
        <v>1538446.95</v>
      </c>
      <c r="C47">
        <v>3339104.04</v>
      </c>
      <c r="D47">
        <v>33385527.515000001</v>
      </c>
    </row>
    <row r="48" spans="1:6" x14ac:dyDescent="0.25">
      <c r="A48" t="s">
        <v>13</v>
      </c>
      <c r="B48">
        <v>1473353.0449999999</v>
      </c>
      <c r="C48">
        <v>3422571.48</v>
      </c>
      <c r="D48">
        <v>33893024.990000002</v>
      </c>
    </row>
    <row r="51" spans="1:61" ht="15" customHeight="1" x14ac:dyDescent="0.25">
      <c r="A51" s="4" t="s">
        <v>17</v>
      </c>
    </row>
    <row r="52" spans="1:61" x14ac:dyDescent="0.25">
      <c r="A52" t="s">
        <v>16</v>
      </c>
      <c r="B52">
        <v>1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2</v>
      </c>
      <c r="W52">
        <v>2</v>
      </c>
      <c r="X52">
        <v>2</v>
      </c>
      <c r="Y52">
        <v>2</v>
      </c>
      <c r="Z52">
        <v>2</v>
      </c>
      <c r="AA52">
        <v>2</v>
      </c>
      <c r="AB52">
        <v>2</v>
      </c>
      <c r="AC52">
        <v>2</v>
      </c>
      <c r="AD52">
        <v>2</v>
      </c>
      <c r="AE52">
        <v>2</v>
      </c>
      <c r="AF52">
        <v>2</v>
      </c>
      <c r="AG52">
        <v>2</v>
      </c>
      <c r="AH52">
        <v>2</v>
      </c>
      <c r="AI52">
        <v>2</v>
      </c>
      <c r="AJ52">
        <v>2</v>
      </c>
      <c r="AK52">
        <v>2</v>
      </c>
      <c r="AL52">
        <v>2</v>
      </c>
      <c r="AM52">
        <v>2</v>
      </c>
      <c r="AN52">
        <v>2</v>
      </c>
      <c r="AO52">
        <v>2</v>
      </c>
      <c r="AP52">
        <v>3</v>
      </c>
      <c r="AQ52">
        <v>3</v>
      </c>
      <c r="AR52">
        <v>3</v>
      </c>
      <c r="AS52">
        <v>3</v>
      </c>
      <c r="AT52">
        <v>3</v>
      </c>
      <c r="AU52">
        <v>3</v>
      </c>
      <c r="AV52">
        <v>3</v>
      </c>
      <c r="AW52">
        <v>3</v>
      </c>
      <c r="AX52">
        <v>3</v>
      </c>
      <c r="AY52">
        <v>3</v>
      </c>
      <c r="AZ52">
        <v>3</v>
      </c>
      <c r="BA52">
        <v>3</v>
      </c>
      <c r="BB52">
        <v>3</v>
      </c>
      <c r="BC52">
        <v>3</v>
      </c>
      <c r="BD52">
        <v>3</v>
      </c>
      <c r="BE52">
        <v>3</v>
      </c>
      <c r="BF52">
        <v>3</v>
      </c>
      <c r="BG52">
        <v>3</v>
      </c>
      <c r="BH52">
        <v>3</v>
      </c>
      <c r="BI52">
        <v>3</v>
      </c>
    </row>
    <row r="53" spans="1:61" x14ac:dyDescent="0.25">
      <c r="A53" t="s">
        <v>6</v>
      </c>
      <c r="B53">
        <v>586725.69999999995</v>
      </c>
      <c r="C53">
        <v>793112.7</v>
      </c>
      <c r="D53">
        <v>993881.3</v>
      </c>
      <c r="E53">
        <v>883633.3</v>
      </c>
      <c r="F53">
        <v>1535045.6</v>
      </c>
      <c r="G53">
        <v>993966.1</v>
      </c>
      <c r="H53">
        <v>1031853.3</v>
      </c>
      <c r="I53">
        <v>1032776.4</v>
      </c>
      <c r="J53">
        <v>1269031</v>
      </c>
      <c r="K53">
        <v>415186.6</v>
      </c>
      <c r="L53">
        <v>1196217.8</v>
      </c>
      <c r="M53">
        <v>966225.6</v>
      </c>
      <c r="N53">
        <v>966273.4</v>
      </c>
      <c r="O53">
        <v>822415.2</v>
      </c>
      <c r="P53">
        <v>1198024.6000000001</v>
      </c>
      <c r="Q53">
        <v>656990.4</v>
      </c>
      <c r="R53">
        <v>994225.7</v>
      </c>
      <c r="S53">
        <v>1032163.6</v>
      </c>
      <c r="T53">
        <v>1233071.2</v>
      </c>
      <c r="U53">
        <v>856348.9</v>
      </c>
      <c r="V53">
        <v>2642522.2000000002</v>
      </c>
      <c r="W53">
        <v>2933148.4</v>
      </c>
      <c r="X53">
        <v>2629669</v>
      </c>
      <c r="Y53">
        <v>1977090.1</v>
      </c>
      <c r="Z53">
        <v>1842340.5</v>
      </c>
      <c r="AA53">
        <v>2579143.7999999998</v>
      </c>
      <c r="AB53">
        <v>2909547.9</v>
      </c>
      <c r="AC53">
        <v>2601903</v>
      </c>
      <c r="AD53">
        <v>2393362.5</v>
      </c>
      <c r="AE53">
        <v>2207604.9</v>
      </c>
      <c r="AF53">
        <v>2191663.6</v>
      </c>
      <c r="AG53">
        <v>2626505.7999999998</v>
      </c>
      <c r="AH53">
        <v>2370503</v>
      </c>
      <c r="AI53">
        <v>2591770.6</v>
      </c>
      <c r="AJ53">
        <v>1770079.1</v>
      </c>
      <c r="AK53">
        <v>2615142.7999999998</v>
      </c>
      <c r="AL53">
        <v>1852130.5</v>
      </c>
      <c r="AM53">
        <v>2315922</v>
      </c>
      <c r="AN53">
        <v>2511082.1</v>
      </c>
      <c r="AO53">
        <v>2185374.1</v>
      </c>
      <c r="AP53">
        <v>23880867</v>
      </c>
      <c r="AQ53">
        <v>30848388.199999999</v>
      </c>
      <c r="AR53">
        <v>29659707.199999999</v>
      </c>
      <c r="AS53">
        <v>36422136.799999997</v>
      </c>
      <c r="AT53">
        <v>33387328.600000001</v>
      </c>
      <c r="AU53">
        <v>31166566.100000001</v>
      </c>
      <c r="AV53">
        <v>30345756.899999999</v>
      </c>
      <c r="AW53">
        <v>34568193.399999999</v>
      </c>
      <c r="AX53">
        <v>33533075.800000001</v>
      </c>
      <c r="AY53">
        <v>32618097</v>
      </c>
      <c r="AZ53">
        <v>28371953.800000001</v>
      </c>
      <c r="BA53">
        <v>30181175.699999999</v>
      </c>
      <c r="BB53">
        <v>36387813.200000003</v>
      </c>
      <c r="BC53">
        <v>30732039</v>
      </c>
      <c r="BD53">
        <v>29001592.399999999</v>
      </c>
      <c r="BE53">
        <v>29102240.600000001</v>
      </c>
      <c r="BF53">
        <v>31615098.199999999</v>
      </c>
      <c r="BG53">
        <v>31569797.300000001</v>
      </c>
      <c r="BH53">
        <v>32496818.199999999</v>
      </c>
      <c r="BI53">
        <v>34090766.600000001</v>
      </c>
    </row>
    <row r="54" spans="1:61" x14ac:dyDescent="0.25">
      <c r="A54" t="s">
        <v>7</v>
      </c>
      <c r="B54">
        <v>907583.6</v>
      </c>
      <c r="C54">
        <v>601125.1</v>
      </c>
      <c r="D54">
        <v>1174623.8</v>
      </c>
      <c r="E54">
        <v>1038441.5</v>
      </c>
      <c r="F54">
        <v>726670</v>
      </c>
      <c r="G54">
        <v>1273819.2</v>
      </c>
      <c r="H54">
        <v>1007731.6</v>
      </c>
      <c r="I54">
        <v>836572.5</v>
      </c>
      <c r="J54">
        <v>669050.30000000005</v>
      </c>
      <c r="K54">
        <v>1240430.2</v>
      </c>
      <c r="L54">
        <v>1239819.3</v>
      </c>
      <c r="M54">
        <v>929042.4</v>
      </c>
      <c r="N54">
        <v>319123.90000000002</v>
      </c>
      <c r="O54">
        <v>826645.1</v>
      </c>
      <c r="P54">
        <v>971139.9</v>
      </c>
      <c r="Q54">
        <v>822951.2</v>
      </c>
      <c r="R54">
        <v>470505.2</v>
      </c>
      <c r="S54">
        <v>1477602.1</v>
      </c>
      <c r="T54">
        <v>870797.3</v>
      </c>
      <c r="U54">
        <v>1176739.8</v>
      </c>
      <c r="V54">
        <v>2741096.9</v>
      </c>
      <c r="W54">
        <v>1711957.8</v>
      </c>
      <c r="X54">
        <v>2429930.5</v>
      </c>
      <c r="Y54">
        <v>2382672</v>
      </c>
      <c r="Z54">
        <v>2914803.7</v>
      </c>
      <c r="AA54">
        <v>2258413.7000000002</v>
      </c>
      <c r="AB54">
        <v>1507802.5</v>
      </c>
      <c r="AC54">
        <v>2439831.7000000002</v>
      </c>
      <c r="AD54">
        <v>2336809.7999999998</v>
      </c>
      <c r="AE54">
        <v>1947803.8</v>
      </c>
      <c r="AF54">
        <v>2566348.7000000002</v>
      </c>
      <c r="AG54">
        <v>1610126</v>
      </c>
      <c r="AH54">
        <v>2513468.5</v>
      </c>
      <c r="AI54">
        <v>2845285.9</v>
      </c>
      <c r="AJ54">
        <v>2726443.9</v>
      </c>
      <c r="AK54">
        <v>2209185</v>
      </c>
      <c r="AL54">
        <v>1308230.5</v>
      </c>
      <c r="AM54">
        <v>2345988.9</v>
      </c>
      <c r="AN54">
        <v>2164125</v>
      </c>
      <c r="AO54">
        <v>2258356.2999999998</v>
      </c>
      <c r="AP54">
        <v>30137009.100000001</v>
      </c>
      <c r="AQ54">
        <v>29318883.699999999</v>
      </c>
      <c r="AR54">
        <v>35727960.200000003</v>
      </c>
      <c r="AS54">
        <v>25092994.300000001</v>
      </c>
      <c r="AT54">
        <v>29589410.300000001</v>
      </c>
      <c r="AU54">
        <v>32198653.699999999</v>
      </c>
      <c r="AV54">
        <v>31991496.699999999</v>
      </c>
      <c r="AW54">
        <v>23475501.899999999</v>
      </c>
      <c r="AX54">
        <v>27896618.800000001</v>
      </c>
      <c r="AY54">
        <v>27302653.399999999</v>
      </c>
      <c r="AZ54">
        <v>29955537.199999999</v>
      </c>
      <c r="BA54">
        <v>32659410.5</v>
      </c>
      <c r="BB54">
        <v>34003255.100000001</v>
      </c>
      <c r="BC54">
        <v>30740901</v>
      </c>
      <c r="BD54">
        <v>28112550.199999999</v>
      </c>
      <c r="BE54">
        <v>26812981.399999999</v>
      </c>
      <c r="BF54">
        <v>32904791.300000001</v>
      </c>
      <c r="BG54">
        <v>27389712.800000001</v>
      </c>
      <c r="BH54">
        <v>33537880.399999999</v>
      </c>
      <c r="BI54">
        <v>31819979.5</v>
      </c>
    </row>
    <row r="55" spans="1:61" x14ac:dyDescent="0.25">
      <c r="A55" t="s">
        <v>8</v>
      </c>
      <c r="B55">
        <v>1501358.1</v>
      </c>
      <c r="C55">
        <v>1501358.1</v>
      </c>
      <c r="D55">
        <v>1501358.1</v>
      </c>
      <c r="E55">
        <v>1501358.1</v>
      </c>
      <c r="F55">
        <v>1501358.1</v>
      </c>
      <c r="G55">
        <v>1501358.1</v>
      </c>
      <c r="H55">
        <v>1501358.1</v>
      </c>
      <c r="I55">
        <v>1501358.1</v>
      </c>
      <c r="J55">
        <v>1501358.1</v>
      </c>
      <c r="K55">
        <v>1501358.1</v>
      </c>
      <c r="L55">
        <v>1501358.1</v>
      </c>
      <c r="M55">
        <v>1501358.1</v>
      </c>
      <c r="N55">
        <v>1501358.1</v>
      </c>
      <c r="O55">
        <v>1501358.1</v>
      </c>
      <c r="P55">
        <v>1501358.1</v>
      </c>
      <c r="Q55">
        <v>1501358.1</v>
      </c>
      <c r="R55">
        <v>1501358.1</v>
      </c>
      <c r="S55">
        <v>1501358.1</v>
      </c>
      <c r="T55">
        <v>1501358.1</v>
      </c>
      <c r="U55">
        <v>1501358.1</v>
      </c>
      <c r="V55">
        <v>3572194.6</v>
      </c>
      <c r="W55">
        <v>3572194.6</v>
      </c>
      <c r="X55">
        <v>3572194.6</v>
      </c>
      <c r="Y55">
        <v>3572194.6</v>
      </c>
      <c r="Z55">
        <v>3572194.6</v>
      </c>
      <c r="AA55">
        <v>3572194.6</v>
      </c>
      <c r="AB55">
        <v>3572194.6</v>
      </c>
      <c r="AC55">
        <v>3572194.6</v>
      </c>
      <c r="AD55">
        <v>3572194.6</v>
      </c>
      <c r="AE55">
        <v>3572194.6</v>
      </c>
      <c r="AF55">
        <v>3572194.6</v>
      </c>
      <c r="AG55">
        <v>3572194.6</v>
      </c>
      <c r="AH55">
        <v>3572194.6</v>
      </c>
      <c r="AI55">
        <v>3572194.6</v>
      </c>
      <c r="AJ55">
        <v>3572194.6</v>
      </c>
      <c r="AK55">
        <v>3572194.6</v>
      </c>
      <c r="AL55">
        <v>3572194.6</v>
      </c>
      <c r="AM55">
        <v>3572194.6</v>
      </c>
      <c r="AN55">
        <v>3572194.6</v>
      </c>
      <c r="AO55">
        <v>3572194.6</v>
      </c>
      <c r="AP55">
        <v>33833239.700000003</v>
      </c>
      <c r="AQ55">
        <v>33833239.700000003</v>
      </c>
      <c r="AR55">
        <v>33833239.700000003</v>
      </c>
      <c r="AS55">
        <v>33833239.700000003</v>
      </c>
      <c r="AT55">
        <v>33833239.700000003</v>
      </c>
      <c r="AU55">
        <v>33833239.700000003</v>
      </c>
      <c r="AV55">
        <v>33833239.700000003</v>
      </c>
      <c r="AW55">
        <v>33833239.700000003</v>
      </c>
      <c r="AX55">
        <v>33833239.700000003</v>
      </c>
      <c r="AY55">
        <v>33833239.700000003</v>
      </c>
      <c r="AZ55">
        <v>33833239.700000003</v>
      </c>
      <c r="BA55">
        <v>33833239.700000003</v>
      </c>
      <c r="BB55">
        <v>33833239.700000003</v>
      </c>
      <c r="BC55">
        <v>33833239.700000003</v>
      </c>
      <c r="BD55">
        <v>33833239.700000003</v>
      </c>
      <c r="BE55">
        <v>33833239.700000003</v>
      </c>
      <c r="BF55">
        <v>33833239.700000003</v>
      </c>
      <c r="BG55">
        <v>33833239.700000003</v>
      </c>
      <c r="BH55">
        <v>33833239.700000003</v>
      </c>
      <c r="BI55">
        <v>33833239.700000003</v>
      </c>
    </row>
    <row r="56" spans="1:61" x14ac:dyDescent="0.25">
      <c r="A56" t="s">
        <v>9</v>
      </c>
      <c r="B56">
        <v>1166746.2</v>
      </c>
      <c r="C56">
        <v>1304893.8999999999</v>
      </c>
      <c r="D56">
        <v>1301239.7</v>
      </c>
      <c r="E56">
        <v>1042217.4</v>
      </c>
      <c r="F56">
        <v>1620997.5</v>
      </c>
      <c r="G56">
        <v>945277.4</v>
      </c>
      <c r="H56">
        <v>1501466.7</v>
      </c>
      <c r="I56">
        <v>912777.3</v>
      </c>
      <c r="J56">
        <v>1529214.3</v>
      </c>
      <c r="K56">
        <v>1654616.8</v>
      </c>
      <c r="L56">
        <v>1088922</v>
      </c>
      <c r="M56">
        <v>1356773.1</v>
      </c>
      <c r="N56">
        <v>1660686.6</v>
      </c>
      <c r="O56">
        <v>1319194</v>
      </c>
      <c r="P56">
        <v>1578563.7</v>
      </c>
      <c r="Q56">
        <v>1560109.3</v>
      </c>
      <c r="R56">
        <v>1543776.8</v>
      </c>
      <c r="S56">
        <v>1663169.4</v>
      </c>
      <c r="T56">
        <v>1387688.9</v>
      </c>
      <c r="U56">
        <v>1525290.7</v>
      </c>
      <c r="V56">
        <v>3430224.8</v>
      </c>
      <c r="W56">
        <v>3513069.9</v>
      </c>
      <c r="X56">
        <v>2927863</v>
      </c>
      <c r="Y56">
        <v>3308622.5</v>
      </c>
      <c r="Z56">
        <v>3511265.3</v>
      </c>
      <c r="AA56">
        <v>3567742.5</v>
      </c>
      <c r="AB56">
        <v>3800194.3</v>
      </c>
      <c r="AC56">
        <v>3235470.2</v>
      </c>
      <c r="AD56">
        <v>2852312.6</v>
      </c>
      <c r="AE56">
        <v>3416994.2</v>
      </c>
      <c r="AF56">
        <v>3823763.8</v>
      </c>
      <c r="AG56">
        <v>3646496.6</v>
      </c>
      <c r="AH56">
        <v>3884279.1</v>
      </c>
      <c r="AI56">
        <v>3094110.2</v>
      </c>
      <c r="AJ56">
        <v>3151511</v>
      </c>
      <c r="AK56">
        <v>3875945.1</v>
      </c>
      <c r="AL56">
        <v>3356898.3</v>
      </c>
      <c r="AM56">
        <v>3789503.4</v>
      </c>
      <c r="AN56">
        <v>2700623.5</v>
      </c>
      <c r="AO56">
        <v>3764482.6</v>
      </c>
      <c r="AP56">
        <v>30683074.800000001</v>
      </c>
      <c r="AQ56">
        <v>32702446.199999999</v>
      </c>
      <c r="AR56">
        <v>35609452.799999997</v>
      </c>
      <c r="AS56">
        <v>30470025.300000001</v>
      </c>
      <c r="AT56">
        <v>31057581.600000001</v>
      </c>
      <c r="AU56">
        <v>32628879.600000001</v>
      </c>
      <c r="AV56">
        <v>31173161.399999999</v>
      </c>
      <c r="AW56">
        <v>33439077.399999999</v>
      </c>
      <c r="AX56">
        <v>35467483.799999997</v>
      </c>
      <c r="AY56">
        <v>32283609.800000001</v>
      </c>
      <c r="AZ56">
        <v>33429868.100000001</v>
      </c>
      <c r="BA56">
        <v>36418128.299999997</v>
      </c>
      <c r="BB56">
        <v>32596763.399999999</v>
      </c>
      <c r="BC56">
        <v>34390920.799999997</v>
      </c>
      <c r="BD56">
        <v>34172756.100000001</v>
      </c>
      <c r="BE56">
        <v>33887137.600000001</v>
      </c>
      <c r="BF56">
        <v>34104126.299999997</v>
      </c>
      <c r="BG56">
        <v>34899524.200000003</v>
      </c>
      <c r="BH56">
        <v>35973126.399999999</v>
      </c>
      <c r="BI56">
        <v>34377738.299999997</v>
      </c>
    </row>
    <row r="57" spans="1:61" x14ac:dyDescent="0.25">
      <c r="A57" t="s">
        <v>10</v>
      </c>
      <c r="B57">
        <v>1577536</v>
      </c>
      <c r="C57">
        <v>1478715.3</v>
      </c>
      <c r="D57">
        <v>1547909.1</v>
      </c>
      <c r="E57">
        <v>1537700</v>
      </c>
      <c r="F57">
        <v>1552422.1</v>
      </c>
      <c r="G57">
        <v>1591878.8</v>
      </c>
      <c r="H57">
        <v>1500369.1</v>
      </c>
      <c r="I57">
        <v>1537027.1</v>
      </c>
      <c r="J57">
        <v>1537917.7</v>
      </c>
      <c r="K57">
        <v>1532257.7</v>
      </c>
      <c r="L57">
        <v>1546780.9</v>
      </c>
      <c r="M57">
        <v>1560120.1</v>
      </c>
      <c r="N57">
        <v>1500085.4</v>
      </c>
      <c r="O57">
        <v>1540747.5</v>
      </c>
      <c r="P57">
        <v>1539279.8</v>
      </c>
      <c r="Q57">
        <v>1540716.2</v>
      </c>
      <c r="R57">
        <v>1540359.5</v>
      </c>
      <c r="S57">
        <v>1478841.8</v>
      </c>
      <c r="T57">
        <v>1498676.1</v>
      </c>
      <c r="U57">
        <v>1477112.6</v>
      </c>
      <c r="V57">
        <v>3742656.7</v>
      </c>
      <c r="W57">
        <v>3740103.5</v>
      </c>
      <c r="X57">
        <v>2887874.1</v>
      </c>
      <c r="Y57">
        <v>3728974.3</v>
      </c>
      <c r="Z57">
        <v>3600143.7</v>
      </c>
      <c r="AA57">
        <v>3658773.7</v>
      </c>
      <c r="AB57">
        <v>3701723.5</v>
      </c>
      <c r="AC57">
        <v>3707787</v>
      </c>
      <c r="AD57">
        <v>2910649.3</v>
      </c>
      <c r="AE57">
        <v>3525239.7</v>
      </c>
      <c r="AF57">
        <v>3146388</v>
      </c>
      <c r="AG57">
        <v>3354357.7</v>
      </c>
      <c r="AH57">
        <v>3750136.7</v>
      </c>
      <c r="AI57">
        <v>3504463.7</v>
      </c>
      <c r="AJ57">
        <v>3190239.2</v>
      </c>
      <c r="AK57">
        <v>3727345.8</v>
      </c>
      <c r="AL57">
        <v>3481145.9</v>
      </c>
      <c r="AM57">
        <v>3725708</v>
      </c>
      <c r="AN57">
        <v>3890823.5</v>
      </c>
      <c r="AO57">
        <v>2983626.5</v>
      </c>
      <c r="AP57">
        <v>34571266.799999997</v>
      </c>
      <c r="AQ57">
        <v>33225998.300000001</v>
      </c>
      <c r="AR57">
        <v>31255643.5</v>
      </c>
      <c r="AS57">
        <v>37944246</v>
      </c>
      <c r="AT57">
        <v>31350775.699999999</v>
      </c>
      <c r="AU57">
        <v>33965150.899999999</v>
      </c>
      <c r="AV57">
        <v>35339082.700000003</v>
      </c>
      <c r="AW57">
        <v>29658595.300000001</v>
      </c>
      <c r="AX57">
        <v>36841996.899999999</v>
      </c>
      <c r="AY57">
        <v>35152039.799999997</v>
      </c>
      <c r="AZ57">
        <v>32663086.699999999</v>
      </c>
      <c r="BA57">
        <v>36314410.700000003</v>
      </c>
      <c r="BB57">
        <v>35589115.100000001</v>
      </c>
      <c r="BC57">
        <v>37431208.5</v>
      </c>
      <c r="BD57">
        <v>30672207.800000001</v>
      </c>
      <c r="BE57">
        <v>35462519</v>
      </c>
      <c r="BF57">
        <v>32161182.100000001</v>
      </c>
      <c r="BG57">
        <v>32766108.199999999</v>
      </c>
      <c r="BH57">
        <v>34728387.799999997</v>
      </c>
      <c r="BI57">
        <v>31135944.5</v>
      </c>
    </row>
    <row r="58" spans="1:61" x14ac:dyDescent="0.25">
      <c r="A58" t="s">
        <v>11</v>
      </c>
      <c r="B58">
        <v>1731166.9</v>
      </c>
      <c r="C58">
        <v>1383864.2</v>
      </c>
      <c r="D58">
        <v>1270689.5</v>
      </c>
      <c r="E58">
        <v>1623666.2</v>
      </c>
      <c r="F58">
        <v>1399855.6</v>
      </c>
      <c r="G58">
        <v>1650057</v>
      </c>
      <c r="H58">
        <v>1626676.1</v>
      </c>
      <c r="I58">
        <v>1770290.6</v>
      </c>
      <c r="J58">
        <v>1662175.9</v>
      </c>
      <c r="K58">
        <v>1500504</v>
      </c>
      <c r="L58">
        <v>1648084.4</v>
      </c>
      <c r="M58">
        <v>1530967.5</v>
      </c>
      <c r="N58">
        <v>1627238.8</v>
      </c>
      <c r="O58">
        <v>1301718.8</v>
      </c>
      <c r="P58">
        <v>1543896.3</v>
      </c>
      <c r="Q58">
        <v>1637167.5</v>
      </c>
      <c r="R58">
        <v>1656970</v>
      </c>
      <c r="S58">
        <v>1546551.3</v>
      </c>
      <c r="T58">
        <v>1678517.8</v>
      </c>
      <c r="U58">
        <v>1354013.4</v>
      </c>
      <c r="V58">
        <v>3253514.4</v>
      </c>
      <c r="W58">
        <v>2817105.6</v>
      </c>
      <c r="X58">
        <v>3747818.9</v>
      </c>
      <c r="Y58">
        <v>3699400.6</v>
      </c>
      <c r="Z58">
        <v>3037454.3</v>
      </c>
      <c r="AA58">
        <v>3041074.5</v>
      </c>
      <c r="AB58">
        <v>3105169.4</v>
      </c>
      <c r="AC58">
        <v>2925531</v>
      </c>
      <c r="AD58">
        <v>3822788.2</v>
      </c>
      <c r="AE58">
        <v>3446778.4</v>
      </c>
      <c r="AF58">
        <v>2738786.5</v>
      </c>
      <c r="AG58">
        <v>3259114.8</v>
      </c>
      <c r="AH58">
        <v>2966258.3</v>
      </c>
      <c r="AI58">
        <v>3740135.2</v>
      </c>
      <c r="AJ58">
        <v>3741287.8</v>
      </c>
      <c r="AK58">
        <v>3649096.5</v>
      </c>
      <c r="AL58">
        <v>3972176</v>
      </c>
      <c r="AM58">
        <v>3477460.1</v>
      </c>
      <c r="AN58">
        <v>2592172.1</v>
      </c>
      <c r="AO58">
        <v>3708649.3</v>
      </c>
      <c r="AP58">
        <v>31767714.899999999</v>
      </c>
      <c r="AQ58">
        <v>34556336.100000001</v>
      </c>
      <c r="AR58">
        <v>31230035.199999999</v>
      </c>
      <c r="AS58">
        <v>33710748</v>
      </c>
      <c r="AT58">
        <v>37109051.299999997</v>
      </c>
      <c r="AU58">
        <v>35795488.799999997</v>
      </c>
      <c r="AV58">
        <v>31239815.699999999</v>
      </c>
      <c r="AW58">
        <v>35465759.200000003</v>
      </c>
      <c r="AX58">
        <v>37420660.600000001</v>
      </c>
      <c r="AY58">
        <v>33776960.200000003</v>
      </c>
      <c r="AZ58">
        <v>33712335.600000001</v>
      </c>
      <c r="BA58">
        <v>33911215.700000003</v>
      </c>
      <c r="BB58">
        <v>33939337.100000001</v>
      </c>
      <c r="BC58">
        <v>30423400.699999999</v>
      </c>
      <c r="BD58">
        <v>36100931.899999999</v>
      </c>
      <c r="BE58">
        <v>35373775.299999997</v>
      </c>
      <c r="BF58">
        <v>31101966.399999999</v>
      </c>
      <c r="BG58">
        <v>36904986.5</v>
      </c>
      <c r="BH58">
        <v>33264434.699999999</v>
      </c>
      <c r="BI58">
        <v>33836144.200000003</v>
      </c>
    </row>
    <row r="59" spans="1:61" ht="15" customHeight="1" x14ac:dyDescent="0.25">
      <c r="A59" s="1" t="s">
        <v>12</v>
      </c>
      <c r="B59">
        <v>1596830</v>
      </c>
      <c r="C59">
        <v>1377026.2</v>
      </c>
      <c r="D59">
        <v>1402814.1</v>
      </c>
      <c r="E59">
        <v>1682998.9</v>
      </c>
      <c r="F59">
        <v>1545104</v>
      </c>
      <c r="G59">
        <v>1301774.3999999999</v>
      </c>
      <c r="H59">
        <v>1630144.2</v>
      </c>
      <c r="I59">
        <v>1654212.9</v>
      </c>
      <c r="J59">
        <v>1589642.4</v>
      </c>
      <c r="K59">
        <v>1620613.6</v>
      </c>
      <c r="L59">
        <v>1470667.5</v>
      </c>
      <c r="M59">
        <v>1434108.4</v>
      </c>
      <c r="N59">
        <v>1630463</v>
      </c>
      <c r="O59">
        <v>1652856.7</v>
      </c>
      <c r="P59">
        <v>1668410.4</v>
      </c>
      <c r="Q59">
        <v>1593403.4</v>
      </c>
      <c r="R59">
        <v>1395627.2</v>
      </c>
      <c r="S59">
        <v>1479066.4</v>
      </c>
      <c r="T59">
        <v>1391386.8</v>
      </c>
      <c r="U59">
        <v>1651788.5</v>
      </c>
      <c r="V59">
        <v>3650604.3</v>
      </c>
      <c r="W59">
        <v>2956096.9</v>
      </c>
      <c r="X59">
        <v>2395189.2999999998</v>
      </c>
      <c r="Y59">
        <v>3776871.7</v>
      </c>
      <c r="Z59">
        <v>3144202.8</v>
      </c>
      <c r="AA59">
        <v>3310248.4</v>
      </c>
      <c r="AB59">
        <v>3760636.1</v>
      </c>
      <c r="AC59">
        <v>3438426.3</v>
      </c>
      <c r="AD59">
        <v>3123582.3</v>
      </c>
      <c r="AE59">
        <v>3415640.2</v>
      </c>
      <c r="AF59">
        <v>3612678.3</v>
      </c>
      <c r="AG59">
        <v>3851293.8</v>
      </c>
      <c r="AH59">
        <v>3538750</v>
      </c>
      <c r="AI59">
        <v>2996779</v>
      </c>
      <c r="AJ59">
        <v>3127058.4</v>
      </c>
      <c r="AK59">
        <v>3300776.6</v>
      </c>
      <c r="AL59">
        <v>3419025.2</v>
      </c>
      <c r="AM59">
        <v>2963642.4</v>
      </c>
      <c r="AN59">
        <v>3224562.4</v>
      </c>
      <c r="AO59">
        <v>3776016.4</v>
      </c>
      <c r="AP59">
        <v>29920456.300000001</v>
      </c>
      <c r="AQ59">
        <v>34088127.200000003</v>
      </c>
      <c r="AR59">
        <v>33561607.299999997</v>
      </c>
      <c r="AS59">
        <v>34630043.700000003</v>
      </c>
      <c r="AT59">
        <v>33022268.5</v>
      </c>
      <c r="AU59">
        <v>29656507.600000001</v>
      </c>
      <c r="AV59">
        <v>34858981.100000001</v>
      </c>
      <c r="AW59">
        <v>37385825.399999999</v>
      </c>
      <c r="AX59">
        <v>31271152.899999999</v>
      </c>
      <c r="AY59">
        <v>30225961.199999999</v>
      </c>
      <c r="AZ59">
        <v>31637165.800000001</v>
      </c>
      <c r="BA59">
        <v>33247015.699999999</v>
      </c>
      <c r="BB59">
        <v>35750798.100000001</v>
      </c>
      <c r="BC59">
        <v>36291587.600000001</v>
      </c>
      <c r="BD59">
        <v>34690727.600000001</v>
      </c>
      <c r="BE59">
        <v>34133387</v>
      </c>
      <c r="BF59">
        <v>34405503.100000001</v>
      </c>
      <c r="BG59">
        <v>33886062.5</v>
      </c>
      <c r="BH59">
        <v>28973907.199999999</v>
      </c>
      <c r="BI59">
        <v>36073464.5</v>
      </c>
    </row>
    <row r="60" spans="1:61" x14ac:dyDescent="0.25">
      <c r="A60" t="s">
        <v>13</v>
      </c>
      <c r="B60">
        <v>1415204.4</v>
      </c>
      <c r="C60">
        <v>1652822.1</v>
      </c>
      <c r="D60">
        <v>1716377.1</v>
      </c>
      <c r="E60">
        <v>1595912.6</v>
      </c>
      <c r="F60">
        <v>1617353.1</v>
      </c>
      <c r="G60">
        <v>1246454.6000000001</v>
      </c>
      <c r="H60">
        <v>1569175.4</v>
      </c>
      <c r="I60">
        <v>1351711.5</v>
      </c>
      <c r="J60">
        <v>1418727.6</v>
      </c>
      <c r="K60">
        <v>1611122.1</v>
      </c>
      <c r="L60">
        <v>1590836.7</v>
      </c>
      <c r="M60">
        <v>1593581.9</v>
      </c>
      <c r="N60">
        <v>1236306.6000000001</v>
      </c>
      <c r="O60">
        <v>1430374.6</v>
      </c>
      <c r="P60">
        <v>1321245.3</v>
      </c>
      <c r="Q60">
        <v>1537717.3</v>
      </c>
      <c r="R60">
        <v>1654095.3</v>
      </c>
      <c r="S60">
        <v>1619382.4</v>
      </c>
      <c r="T60">
        <v>931011.6</v>
      </c>
      <c r="U60">
        <v>1357648.7</v>
      </c>
      <c r="V60">
        <v>3709884.2</v>
      </c>
      <c r="W60">
        <v>2625118.2000000002</v>
      </c>
      <c r="X60">
        <v>3498215.8</v>
      </c>
      <c r="Y60">
        <v>3766969.6</v>
      </c>
      <c r="Z60">
        <v>3832535.2</v>
      </c>
      <c r="AA60">
        <v>3423527.2</v>
      </c>
      <c r="AB60">
        <v>3756203.5</v>
      </c>
      <c r="AC60">
        <v>2959079.2</v>
      </c>
      <c r="AD60">
        <v>3307504.4</v>
      </c>
      <c r="AE60">
        <v>3445140.2</v>
      </c>
      <c r="AF60">
        <v>3108335.9</v>
      </c>
      <c r="AG60">
        <v>2820741.7</v>
      </c>
      <c r="AH60">
        <v>3847709.8</v>
      </c>
      <c r="AI60">
        <v>3758682.7</v>
      </c>
      <c r="AJ60">
        <v>3334463.5</v>
      </c>
      <c r="AK60">
        <v>3530251.9</v>
      </c>
      <c r="AL60">
        <v>2972616</v>
      </c>
      <c r="AM60">
        <v>3723036.3</v>
      </c>
      <c r="AN60">
        <v>3980550.4</v>
      </c>
      <c r="AO60">
        <v>3050863.9</v>
      </c>
      <c r="AP60">
        <v>31721173.5</v>
      </c>
      <c r="AQ60">
        <v>36089782.200000003</v>
      </c>
      <c r="AR60">
        <v>33756290.299999997</v>
      </c>
      <c r="AS60">
        <v>34452848.700000003</v>
      </c>
      <c r="AT60">
        <v>33233220.5</v>
      </c>
      <c r="AU60">
        <v>29538203.399999999</v>
      </c>
      <c r="AV60">
        <v>34694225.5</v>
      </c>
      <c r="AW60">
        <v>32214177</v>
      </c>
      <c r="AX60">
        <v>32853495.300000001</v>
      </c>
      <c r="AY60">
        <v>32272582.300000001</v>
      </c>
      <c r="AZ60">
        <v>36827597.899999999</v>
      </c>
      <c r="BA60">
        <v>34579697.700000003</v>
      </c>
      <c r="BB60">
        <v>33840046.5</v>
      </c>
      <c r="BC60">
        <v>37245402.5</v>
      </c>
      <c r="BD60">
        <v>34004236.200000003</v>
      </c>
      <c r="BE60">
        <v>32739537.600000001</v>
      </c>
      <c r="BF60">
        <v>32126825.600000001</v>
      </c>
      <c r="BG60">
        <v>33791648.5</v>
      </c>
      <c r="BH60">
        <v>35314557.799999997</v>
      </c>
      <c r="BI60">
        <v>36564950.799999997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I60"/>
  <sheetViews>
    <sheetView zoomScaleNormal="100" workbookViewId="0"/>
  </sheetViews>
  <sheetFormatPr defaultColWidth="8.5703125" defaultRowHeight="15" x14ac:dyDescent="0.25"/>
  <cols>
    <col min="1" max="1" width="24" customWidth="1"/>
    <col min="2" max="2" width="12" customWidth="1"/>
    <col min="3" max="3" width="20" customWidth="1"/>
    <col min="4" max="5" width="13" customWidth="1"/>
    <col min="6" max="6" width="20" customWidth="1"/>
    <col min="7" max="10" width="11" customWidth="1"/>
    <col min="11" max="11" width="12" customWidth="1"/>
    <col min="12" max="13" width="11" customWidth="1"/>
    <col min="14" max="14" width="12" customWidth="1"/>
    <col min="15" max="17" width="11" customWidth="1"/>
    <col min="18" max="18" width="12" customWidth="1"/>
    <col min="19" max="21" width="11" customWidth="1"/>
    <col min="22" max="41" width="12" customWidth="1"/>
    <col min="42" max="42" width="13" customWidth="1"/>
    <col min="43" max="44" width="12" customWidth="1"/>
    <col min="45" max="45" width="13" customWidth="1"/>
    <col min="46" max="48" width="12" customWidth="1"/>
    <col min="49" max="49" width="13" customWidth="1"/>
    <col min="50" max="61" width="12" customWidth="1"/>
  </cols>
  <sheetData>
    <row r="1" spans="1:6" ht="15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 t="s">
        <v>6</v>
      </c>
      <c r="B2">
        <v>1</v>
      </c>
      <c r="C2">
        <v>5623031.5</v>
      </c>
      <c r="D2">
        <v>14359</v>
      </c>
      <c r="E2">
        <v>11193778</v>
      </c>
      <c r="F2">
        <v>2465820.5512376712</v>
      </c>
    </row>
    <row r="3" spans="1:6" x14ac:dyDescent="0.25">
      <c r="A3" t="s">
        <v>6</v>
      </c>
      <c r="B3">
        <v>2</v>
      </c>
      <c r="C3">
        <v>12932261.449999999</v>
      </c>
      <c r="D3">
        <v>7727077</v>
      </c>
      <c r="E3">
        <v>19332960</v>
      </c>
      <c r="F3">
        <v>3109186.2424575249</v>
      </c>
    </row>
    <row r="4" spans="1:6" x14ac:dyDescent="0.25">
      <c r="A4" t="s">
        <v>6</v>
      </c>
      <c r="B4">
        <v>3</v>
      </c>
      <c r="C4">
        <v>65162295.600000001</v>
      </c>
      <c r="D4">
        <v>21033819</v>
      </c>
      <c r="E4">
        <v>131518772</v>
      </c>
      <c r="F4">
        <v>24529563.66136932</v>
      </c>
    </row>
    <row r="5" spans="1:6" x14ac:dyDescent="0.25">
      <c r="A5" t="s">
        <v>7</v>
      </c>
      <c r="B5">
        <v>1</v>
      </c>
      <c r="C5">
        <v>5485086.0499999998</v>
      </c>
      <c r="D5">
        <v>0</v>
      </c>
      <c r="E5">
        <v>11584270</v>
      </c>
      <c r="F5">
        <v>2816842.247280871</v>
      </c>
    </row>
    <row r="6" spans="1:6" x14ac:dyDescent="0.25">
      <c r="A6" t="s">
        <v>7</v>
      </c>
      <c r="B6">
        <v>2</v>
      </c>
      <c r="C6">
        <v>13319924.699999999</v>
      </c>
      <c r="D6">
        <v>7527886</v>
      </c>
      <c r="E6">
        <v>21450178</v>
      </c>
      <c r="F6">
        <v>3977609.2692985078</v>
      </c>
    </row>
    <row r="7" spans="1:6" x14ac:dyDescent="0.25">
      <c r="A7" t="s">
        <v>7</v>
      </c>
      <c r="B7">
        <v>3</v>
      </c>
      <c r="C7">
        <v>74819451.599999994</v>
      </c>
      <c r="D7">
        <v>26885352</v>
      </c>
      <c r="E7">
        <v>131065906</v>
      </c>
      <c r="F7">
        <v>26227609.263397001</v>
      </c>
    </row>
    <row r="8" spans="1:6" x14ac:dyDescent="0.25">
      <c r="A8" t="s">
        <v>8</v>
      </c>
      <c r="B8">
        <v>1</v>
      </c>
      <c r="C8">
        <v>9409</v>
      </c>
      <c r="D8">
        <v>9409</v>
      </c>
      <c r="E8">
        <v>9409</v>
      </c>
      <c r="F8">
        <v>0</v>
      </c>
    </row>
    <row r="9" spans="1:6" x14ac:dyDescent="0.25">
      <c r="A9" t="s">
        <v>8</v>
      </c>
      <c r="B9">
        <v>2</v>
      </c>
      <c r="C9">
        <v>1372676</v>
      </c>
      <c r="D9">
        <v>1372676</v>
      </c>
      <c r="E9">
        <v>1372676</v>
      </c>
      <c r="F9">
        <v>0</v>
      </c>
    </row>
    <row r="10" spans="1:6" x14ac:dyDescent="0.25">
      <c r="A10" t="s">
        <v>8</v>
      </c>
      <c r="B10">
        <v>3</v>
      </c>
      <c r="C10">
        <v>24623161</v>
      </c>
      <c r="D10">
        <v>24623161</v>
      </c>
      <c r="E10">
        <v>24623161</v>
      </c>
      <c r="F10">
        <v>0</v>
      </c>
    </row>
    <row r="11" spans="1:6" x14ac:dyDescent="0.25">
      <c r="A11" t="s">
        <v>9</v>
      </c>
      <c r="B11">
        <v>1</v>
      </c>
      <c r="C11">
        <v>2158581.65</v>
      </c>
      <c r="D11">
        <v>84</v>
      </c>
      <c r="E11">
        <v>6409418</v>
      </c>
      <c r="F11">
        <v>2137428.1432097852</v>
      </c>
    </row>
    <row r="12" spans="1:6" ht="15" customHeight="1" x14ac:dyDescent="0.25">
      <c r="A12" s="1" t="s">
        <v>9</v>
      </c>
      <c r="B12">
        <v>2</v>
      </c>
      <c r="C12">
        <v>3492812.15</v>
      </c>
      <c r="D12">
        <v>2584</v>
      </c>
      <c r="E12">
        <v>10066152</v>
      </c>
      <c r="F12">
        <v>3255736.541473608</v>
      </c>
    </row>
    <row r="13" spans="1:6" x14ac:dyDescent="0.25">
      <c r="A13" t="s">
        <v>9</v>
      </c>
      <c r="B13">
        <v>3</v>
      </c>
      <c r="C13">
        <v>31759941.100000001</v>
      </c>
      <c r="D13">
        <v>4427</v>
      </c>
      <c r="E13">
        <v>64419345</v>
      </c>
      <c r="F13">
        <v>16224543.059854951</v>
      </c>
    </row>
    <row r="14" spans="1:6" x14ac:dyDescent="0.25">
      <c r="A14" t="s">
        <v>10</v>
      </c>
      <c r="B14">
        <v>1</v>
      </c>
      <c r="C14">
        <v>13866</v>
      </c>
      <c r="D14">
        <v>0</v>
      </c>
      <c r="E14">
        <v>93976</v>
      </c>
      <c r="F14">
        <v>26160.84709255417</v>
      </c>
    </row>
    <row r="15" spans="1:6" x14ac:dyDescent="0.25">
      <c r="A15" t="s">
        <v>10</v>
      </c>
      <c r="B15">
        <v>2</v>
      </c>
      <c r="C15">
        <v>2066045.35</v>
      </c>
      <c r="D15">
        <v>2159</v>
      </c>
      <c r="E15">
        <v>7270043</v>
      </c>
      <c r="F15">
        <v>2521639.5049881791</v>
      </c>
    </row>
    <row r="16" spans="1:6" x14ac:dyDescent="0.25">
      <c r="A16" t="s">
        <v>10</v>
      </c>
      <c r="B16">
        <v>3</v>
      </c>
      <c r="C16">
        <v>29452470.100000001</v>
      </c>
      <c r="D16">
        <v>3053</v>
      </c>
      <c r="E16">
        <v>66014546</v>
      </c>
      <c r="F16">
        <v>20539766.776822958</v>
      </c>
    </row>
    <row r="17" spans="1:6" x14ac:dyDescent="0.25">
      <c r="A17" t="s">
        <v>11</v>
      </c>
      <c r="B17">
        <v>1</v>
      </c>
      <c r="C17">
        <v>699508.95</v>
      </c>
      <c r="D17">
        <v>0</v>
      </c>
      <c r="E17">
        <v>3395025</v>
      </c>
      <c r="F17">
        <v>1236648.7654067529</v>
      </c>
    </row>
    <row r="18" spans="1:6" x14ac:dyDescent="0.25">
      <c r="A18" t="s">
        <v>11</v>
      </c>
      <c r="B18">
        <v>2</v>
      </c>
      <c r="C18">
        <v>3812292.4</v>
      </c>
      <c r="D18">
        <v>4567</v>
      </c>
      <c r="E18">
        <v>10294326</v>
      </c>
      <c r="F18">
        <v>3439655.7792511941</v>
      </c>
    </row>
    <row r="19" spans="1:6" x14ac:dyDescent="0.25">
      <c r="A19" t="s">
        <v>11</v>
      </c>
      <c r="B19">
        <v>3</v>
      </c>
      <c r="C19">
        <v>27855824.25</v>
      </c>
      <c r="D19">
        <v>4754</v>
      </c>
      <c r="E19">
        <v>58936361</v>
      </c>
      <c r="F19">
        <v>16791950.863529239</v>
      </c>
    </row>
    <row r="20" spans="1:6" ht="15" customHeight="1" x14ac:dyDescent="0.25">
      <c r="A20" s="1" t="s">
        <v>12</v>
      </c>
      <c r="B20">
        <v>1</v>
      </c>
      <c r="C20">
        <v>798046.9</v>
      </c>
      <c r="D20">
        <v>0</v>
      </c>
      <c r="E20">
        <v>2663667</v>
      </c>
      <c r="F20">
        <v>1097607.3991769049</v>
      </c>
    </row>
    <row r="21" spans="1:6" x14ac:dyDescent="0.25">
      <c r="A21" t="s">
        <v>12</v>
      </c>
      <c r="B21">
        <v>2</v>
      </c>
      <c r="C21">
        <v>3795712.55</v>
      </c>
      <c r="D21">
        <v>11443</v>
      </c>
      <c r="E21">
        <v>11863927</v>
      </c>
      <c r="F21">
        <v>3003724.849501905</v>
      </c>
    </row>
    <row r="22" spans="1:6" x14ac:dyDescent="0.25">
      <c r="A22" t="s">
        <v>12</v>
      </c>
      <c r="B22">
        <v>3</v>
      </c>
      <c r="C22">
        <v>31906188.25</v>
      </c>
      <c r="D22">
        <v>10885</v>
      </c>
      <c r="E22">
        <v>68131736</v>
      </c>
      <c r="F22">
        <v>17518459.145180829</v>
      </c>
    </row>
    <row r="23" spans="1:6" ht="15" customHeight="1" x14ac:dyDescent="0.25">
      <c r="A23" s="1" t="s">
        <v>13</v>
      </c>
      <c r="B23">
        <v>1</v>
      </c>
      <c r="C23">
        <v>1291155.55</v>
      </c>
      <c r="D23">
        <v>0</v>
      </c>
      <c r="E23">
        <v>6561735</v>
      </c>
      <c r="F23">
        <v>1710091.1334860921</v>
      </c>
    </row>
    <row r="24" spans="1:6" x14ac:dyDescent="0.25">
      <c r="A24" t="s">
        <v>13</v>
      </c>
      <c r="B24">
        <v>2</v>
      </c>
      <c r="C24">
        <v>3346585.45</v>
      </c>
      <c r="D24">
        <v>1025</v>
      </c>
      <c r="E24">
        <v>10821260</v>
      </c>
      <c r="F24">
        <v>3223047.505968248</v>
      </c>
    </row>
    <row r="25" spans="1:6" x14ac:dyDescent="0.25">
      <c r="A25" t="s">
        <v>13</v>
      </c>
      <c r="B25">
        <v>3</v>
      </c>
      <c r="C25">
        <v>30445327.899999999</v>
      </c>
      <c r="D25">
        <v>834</v>
      </c>
      <c r="E25">
        <v>64594264</v>
      </c>
      <c r="F25">
        <v>18050573.73072603</v>
      </c>
    </row>
    <row r="28" spans="1:6" ht="15" customHeight="1" x14ac:dyDescent="0.25">
      <c r="A28" s="4" t="s">
        <v>14</v>
      </c>
    </row>
    <row r="29" spans="1:6" x14ac:dyDescent="0.25">
      <c r="A29" t="s">
        <v>6</v>
      </c>
      <c r="C29">
        <v>27905862.850000001</v>
      </c>
      <c r="D29">
        <v>14359</v>
      </c>
      <c r="E29">
        <v>131518772</v>
      </c>
      <c r="F29">
        <v>30145325.2131087</v>
      </c>
    </row>
    <row r="30" spans="1:6" x14ac:dyDescent="0.25">
      <c r="A30" t="s">
        <v>7</v>
      </c>
      <c r="C30">
        <v>31208154.116666671</v>
      </c>
      <c r="D30">
        <v>0</v>
      </c>
      <c r="E30">
        <v>131065906</v>
      </c>
      <c r="F30">
        <v>34618173.040683717</v>
      </c>
    </row>
    <row r="31" spans="1:6" ht="15" customHeight="1" x14ac:dyDescent="0.25">
      <c r="A31" s="1" t="s">
        <v>8</v>
      </c>
      <c r="C31">
        <v>8668415.333333334</v>
      </c>
      <c r="D31">
        <v>9409</v>
      </c>
      <c r="E31">
        <v>24623161</v>
      </c>
      <c r="F31">
        <v>11295428.461530689</v>
      </c>
    </row>
    <row r="32" spans="1:6" x14ac:dyDescent="0.25">
      <c r="A32" t="s">
        <v>9</v>
      </c>
      <c r="C32">
        <v>12470444.966666671</v>
      </c>
      <c r="D32">
        <v>84</v>
      </c>
      <c r="E32">
        <v>64419345</v>
      </c>
      <c r="F32">
        <v>16707496.262918901</v>
      </c>
    </row>
    <row r="33" spans="1:6" x14ac:dyDescent="0.25">
      <c r="A33" t="s">
        <v>10</v>
      </c>
      <c r="C33">
        <v>10510793.81666667</v>
      </c>
      <c r="D33">
        <v>0</v>
      </c>
      <c r="E33">
        <v>66014546</v>
      </c>
      <c r="F33">
        <v>17967820.68129475</v>
      </c>
    </row>
    <row r="34" spans="1:6" x14ac:dyDescent="0.25">
      <c r="A34" t="s">
        <v>11</v>
      </c>
      <c r="C34">
        <v>10789208.533333329</v>
      </c>
      <c r="D34">
        <v>0</v>
      </c>
      <c r="E34">
        <v>58936361</v>
      </c>
      <c r="F34">
        <v>15674596.37211068</v>
      </c>
    </row>
    <row r="35" spans="1:6" ht="15" customHeight="1" x14ac:dyDescent="0.25">
      <c r="A35" s="1" t="s">
        <v>12</v>
      </c>
      <c r="C35">
        <v>12166649.233333331</v>
      </c>
      <c r="D35">
        <v>0</v>
      </c>
      <c r="E35">
        <v>68131736</v>
      </c>
      <c r="F35">
        <v>17379016.239476521</v>
      </c>
    </row>
    <row r="36" spans="1:6" ht="15" customHeight="1" x14ac:dyDescent="0.25">
      <c r="A36" s="1" t="s">
        <v>13</v>
      </c>
      <c r="C36">
        <v>11694356.300000001</v>
      </c>
      <c r="D36">
        <v>0</v>
      </c>
      <c r="E36">
        <v>64594264</v>
      </c>
      <c r="F36">
        <v>17016134.09749553</v>
      </c>
    </row>
    <row r="39" spans="1:6" ht="15" customHeight="1" x14ac:dyDescent="0.25">
      <c r="A39" s="4" t="s">
        <v>15</v>
      </c>
    </row>
    <row r="40" spans="1:6" x14ac:dyDescent="0.25">
      <c r="A40" t="s">
        <v>16</v>
      </c>
      <c r="B40">
        <v>1</v>
      </c>
      <c r="C40">
        <v>2</v>
      </c>
      <c r="D40">
        <v>3</v>
      </c>
    </row>
    <row r="41" spans="1:6" x14ac:dyDescent="0.25">
      <c r="A41" t="s">
        <v>6</v>
      </c>
      <c r="B41">
        <v>5623031.5</v>
      </c>
      <c r="C41">
        <v>12932261.449999999</v>
      </c>
      <c r="D41">
        <v>65162295.600000001</v>
      </c>
    </row>
    <row r="42" spans="1:6" x14ac:dyDescent="0.25">
      <c r="A42" t="s">
        <v>7</v>
      </c>
      <c r="B42">
        <v>5485086.0499999998</v>
      </c>
      <c r="C42">
        <v>13319924.699999999</v>
      </c>
      <c r="D42">
        <v>74819451.599999994</v>
      </c>
    </row>
    <row r="43" spans="1:6" ht="15" customHeight="1" x14ac:dyDescent="0.25">
      <c r="A43" s="1" t="s">
        <v>8</v>
      </c>
      <c r="B43">
        <v>9409</v>
      </c>
      <c r="C43">
        <v>1372676</v>
      </c>
      <c r="D43">
        <v>24623161</v>
      </c>
    </row>
    <row r="44" spans="1:6" x14ac:dyDescent="0.25">
      <c r="A44" t="s">
        <v>9</v>
      </c>
      <c r="B44">
        <v>2158581.65</v>
      </c>
      <c r="C44">
        <v>3492812.15</v>
      </c>
      <c r="D44">
        <v>31759941.100000001</v>
      </c>
    </row>
    <row r="45" spans="1:6" x14ac:dyDescent="0.25">
      <c r="A45" t="s">
        <v>10</v>
      </c>
      <c r="B45">
        <v>13866</v>
      </c>
      <c r="C45">
        <v>2066045.35</v>
      </c>
      <c r="D45">
        <v>29452470.100000001</v>
      </c>
    </row>
    <row r="46" spans="1:6" x14ac:dyDescent="0.25">
      <c r="A46" t="s">
        <v>11</v>
      </c>
      <c r="B46">
        <v>699508.95</v>
      </c>
      <c r="C46">
        <v>3812292.4</v>
      </c>
      <c r="D46">
        <v>27855824.25</v>
      </c>
    </row>
    <row r="47" spans="1:6" ht="15" customHeight="1" x14ac:dyDescent="0.25">
      <c r="A47" s="1" t="s">
        <v>12</v>
      </c>
      <c r="B47">
        <v>798046.9</v>
      </c>
      <c r="C47">
        <v>3795712.55</v>
      </c>
      <c r="D47">
        <v>31906188.25</v>
      </c>
    </row>
    <row r="48" spans="1:6" x14ac:dyDescent="0.25">
      <c r="A48" t="s">
        <v>13</v>
      </c>
      <c r="B48">
        <v>1291155.55</v>
      </c>
      <c r="C48">
        <v>3346585.45</v>
      </c>
      <c r="D48">
        <v>30445327.899999999</v>
      </c>
    </row>
    <row r="51" spans="1:61" ht="15" customHeight="1" x14ac:dyDescent="0.25">
      <c r="A51" s="4" t="s">
        <v>17</v>
      </c>
    </row>
    <row r="52" spans="1:61" x14ac:dyDescent="0.25">
      <c r="A52" t="s">
        <v>16</v>
      </c>
      <c r="B52">
        <v>1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2</v>
      </c>
      <c r="W52">
        <v>2</v>
      </c>
      <c r="X52">
        <v>2</v>
      </c>
      <c r="Y52">
        <v>2</v>
      </c>
      <c r="Z52">
        <v>2</v>
      </c>
      <c r="AA52">
        <v>2</v>
      </c>
      <c r="AB52">
        <v>2</v>
      </c>
      <c r="AC52">
        <v>2</v>
      </c>
      <c r="AD52">
        <v>2</v>
      </c>
      <c r="AE52">
        <v>2</v>
      </c>
      <c r="AF52">
        <v>2</v>
      </c>
      <c r="AG52">
        <v>2</v>
      </c>
      <c r="AH52">
        <v>2</v>
      </c>
      <c r="AI52">
        <v>2</v>
      </c>
      <c r="AJ52">
        <v>2</v>
      </c>
      <c r="AK52">
        <v>2</v>
      </c>
      <c r="AL52">
        <v>2</v>
      </c>
      <c r="AM52">
        <v>2</v>
      </c>
      <c r="AN52">
        <v>2</v>
      </c>
      <c r="AO52">
        <v>2</v>
      </c>
      <c r="AP52">
        <v>3</v>
      </c>
      <c r="AQ52">
        <v>3</v>
      </c>
      <c r="AR52">
        <v>3</v>
      </c>
      <c r="AS52">
        <v>3</v>
      </c>
      <c r="AT52">
        <v>3</v>
      </c>
      <c r="AU52">
        <v>3</v>
      </c>
      <c r="AV52">
        <v>3</v>
      </c>
      <c r="AW52">
        <v>3</v>
      </c>
      <c r="AX52">
        <v>3</v>
      </c>
      <c r="AY52">
        <v>3</v>
      </c>
      <c r="AZ52">
        <v>3</v>
      </c>
      <c r="BA52">
        <v>3</v>
      </c>
      <c r="BB52">
        <v>3</v>
      </c>
      <c r="BC52">
        <v>3</v>
      </c>
      <c r="BD52">
        <v>3</v>
      </c>
      <c r="BE52">
        <v>3</v>
      </c>
      <c r="BF52">
        <v>3</v>
      </c>
      <c r="BG52">
        <v>3</v>
      </c>
      <c r="BH52">
        <v>3</v>
      </c>
      <c r="BI52">
        <v>3</v>
      </c>
    </row>
    <row r="53" spans="1:61" x14ac:dyDescent="0.25">
      <c r="A53" t="s">
        <v>6</v>
      </c>
      <c r="B53">
        <v>9484701</v>
      </c>
      <c r="C53">
        <v>7415811</v>
      </c>
      <c r="D53">
        <v>5410434</v>
      </c>
      <c r="E53">
        <v>6508620</v>
      </c>
      <c r="F53">
        <v>14359</v>
      </c>
      <c r="G53">
        <v>5419885</v>
      </c>
      <c r="H53">
        <v>5029701</v>
      </c>
      <c r="I53">
        <v>5022451</v>
      </c>
      <c r="J53">
        <v>2677318</v>
      </c>
      <c r="K53">
        <v>11193778</v>
      </c>
      <c r="L53">
        <v>3385800</v>
      </c>
      <c r="M53">
        <v>5686443</v>
      </c>
      <c r="N53">
        <v>5685451</v>
      </c>
      <c r="O53">
        <v>7122828</v>
      </c>
      <c r="P53">
        <v>3388517</v>
      </c>
      <c r="Q53">
        <v>8778177</v>
      </c>
      <c r="R53">
        <v>5406892</v>
      </c>
      <c r="S53">
        <v>5030010</v>
      </c>
      <c r="T53">
        <v>3019234</v>
      </c>
      <c r="U53">
        <v>6780220</v>
      </c>
      <c r="V53">
        <v>10479294</v>
      </c>
      <c r="W53">
        <v>7727077</v>
      </c>
      <c r="X53">
        <v>10768502</v>
      </c>
      <c r="Y53">
        <v>16829145</v>
      </c>
      <c r="Z53">
        <v>17495612</v>
      </c>
      <c r="AA53">
        <v>11108226</v>
      </c>
      <c r="AB53">
        <v>7973811</v>
      </c>
      <c r="AC53">
        <v>10656360</v>
      </c>
      <c r="AD53">
        <v>12965618</v>
      </c>
      <c r="AE53">
        <v>14131953</v>
      </c>
      <c r="AF53">
        <v>14666812</v>
      </c>
      <c r="AG53">
        <v>10656402</v>
      </c>
      <c r="AH53">
        <v>13083903</v>
      </c>
      <c r="AI53">
        <v>11916853</v>
      </c>
      <c r="AJ53">
        <v>19332960</v>
      </c>
      <c r="AK53">
        <v>10394418</v>
      </c>
      <c r="AL53">
        <v>17441163</v>
      </c>
      <c r="AM53">
        <v>14216968</v>
      </c>
      <c r="AN53">
        <v>11677517</v>
      </c>
      <c r="AO53">
        <v>15122635</v>
      </c>
      <c r="AP53">
        <v>131518772</v>
      </c>
      <c r="AQ53">
        <v>66321479</v>
      </c>
      <c r="AR53">
        <v>90504231</v>
      </c>
      <c r="AS53">
        <v>26042045</v>
      </c>
      <c r="AT53">
        <v>50056444</v>
      </c>
      <c r="AU53">
        <v>68525864</v>
      </c>
      <c r="AV53">
        <v>75547081</v>
      </c>
      <c r="AW53">
        <v>39188552</v>
      </c>
      <c r="AX53">
        <v>46967563</v>
      </c>
      <c r="AY53">
        <v>56942520</v>
      </c>
      <c r="AZ53">
        <v>86475678</v>
      </c>
      <c r="BA53">
        <v>72502195</v>
      </c>
      <c r="BB53">
        <v>21033819</v>
      </c>
      <c r="BC53">
        <v>74095763</v>
      </c>
      <c r="BD53">
        <v>88197089</v>
      </c>
      <c r="BE53">
        <v>84116721</v>
      </c>
      <c r="BF53">
        <v>66200573</v>
      </c>
      <c r="BG53">
        <v>62452821</v>
      </c>
      <c r="BH53">
        <v>52314064</v>
      </c>
      <c r="BI53">
        <v>44242638</v>
      </c>
    </row>
    <row r="54" spans="1:61" x14ac:dyDescent="0.25">
      <c r="A54" t="s">
        <v>7</v>
      </c>
      <c r="B54">
        <v>5698494</v>
      </c>
      <c r="C54">
        <v>8766852</v>
      </c>
      <c r="D54">
        <v>3026943</v>
      </c>
      <c r="E54">
        <v>4389785</v>
      </c>
      <c r="F54">
        <v>7506837</v>
      </c>
      <c r="G54">
        <v>2035451</v>
      </c>
      <c r="H54">
        <v>4698068</v>
      </c>
      <c r="I54">
        <v>6407584</v>
      </c>
      <c r="J54">
        <v>8080985</v>
      </c>
      <c r="K54">
        <v>2370660</v>
      </c>
      <c r="L54">
        <v>2376093</v>
      </c>
      <c r="M54">
        <v>5481678</v>
      </c>
      <c r="N54">
        <v>11584270</v>
      </c>
      <c r="O54">
        <v>6507902</v>
      </c>
      <c r="P54">
        <v>5063444</v>
      </c>
      <c r="Q54">
        <v>6542720</v>
      </c>
      <c r="R54">
        <v>10074420</v>
      </c>
      <c r="S54">
        <v>0</v>
      </c>
      <c r="T54">
        <v>6063509</v>
      </c>
      <c r="U54">
        <v>3026026</v>
      </c>
      <c r="V54">
        <v>8521594</v>
      </c>
      <c r="W54">
        <v>18998719</v>
      </c>
      <c r="X54">
        <v>11493819</v>
      </c>
      <c r="Y54">
        <v>12330627</v>
      </c>
      <c r="Z54">
        <v>7527886</v>
      </c>
      <c r="AA54">
        <v>12815136</v>
      </c>
      <c r="AB54">
        <v>20549153</v>
      </c>
      <c r="AC54">
        <v>11270085</v>
      </c>
      <c r="AD54">
        <v>12360035</v>
      </c>
      <c r="AE54">
        <v>16297720</v>
      </c>
      <c r="AF54">
        <v>10493170</v>
      </c>
      <c r="AG54">
        <v>19257701</v>
      </c>
      <c r="AH54">
        <v>11378544</v>
      </c>
      <c r="AI54">
        <v>8316579</v>
      </c>
      <c r="AJ54">
        <v>9304468</v>
      </c>
      <c r="AK54">
        <v>14340268</v>
      </c>
      <c r="AL54">
        <v>21450178</v>
      </c>
      <c r="AM54">
        <v>12309442</v>
      </c>
      <c r="AN54">
        <v>13985827</v>
      </c>
      <c r="AO54">
        <v>13397543</v>
      </c>
      <c r="AP54">
        <v>74321069</v>
      </c>
      <c r="AQ54">
        <v>81892163</v>
      </c>
      <c r="AR54">
        <v>26885352</v>
      </c>
      <c r="AS54">
        <v>118071223</v>
      </c>
      <c r="AT54">
        <v>80328429</v>
      </c>
      <c r="AU54">
        <v>58575086</v>
      </c>
      <c r="AV54">
        <v>57168645</v>
      </c>
      <c r="AW54">
        <v>131065906</v>
      </c>
      <c r="AX54">
        <v>90501782</v>
      </c>
      <c r="AY54">
        <v>98926203</v>
      </c>
      <c r="AZ54">
        <v>71366947</v>
      </c>
      <c r="BA54">
        <v>49891579</v>
      </c>
      <c r="BB54">
        <v>38249096</v>
      </c>
      <c r="BC54">
        <v>68226820</v>
      </c>
      <c r="BD54">
        <v>92901938</v>
      </c>
      <c r="BE54">
        <v>99450813</v>
      </c>
      <c r="BF54">
        <v>53787629</v>
      </c>
      <c r="BG54">
        <v>97941296</v>
      </c>
      <c r="BH54">
        <v>46285444</v>
      </c>
      <c r="BI54">
        <v>60551612</v>
      </c>
    </row>
    <row r="55" spans="1:61" x14ac:dyDescent="0.25">
      <c r="A55" t="s">
        <v>8</v>
      </c>
      <c r="B55">
        <v>9409</v>
      </c>
      <c r="C55">
        <v>9409</v>
      </c>
      <c r="D55">
        <v>9409</v>
      </c>
      <c r="E55">
        <v>9409</v>
      </c>
      <c r="F55">
        <v>9409</v>
      </c>
      <c r="G55">
        <v>9409</v>
      </c>
      <c r="H55">
        <v>9409</v>
      </c>
      <c r="I55">
        <v>9409</v>
      </c>
      <c r="J55">
        <v>9409</v>
      </c>
      <c r="K55">
        <v>9409</v>
      </c>
      <c r="L55">
        <v>9409</v>
      </c>
      <c r="M55">
        <v>9409</v>
      </c>
      <c r="N55">
        <v>9409</v>
      </c>
      <c r="O55">
        <v>9409</v>
      </c>
      <c r="P55">
        <v>9409</v>
      </c>
      <c r="Q55">
        <v>9409</v>
      </c>
      <c r="R55">
        <v>9409</v>
      </c>
      <c r="S55">
        <v>9409</v>
      </c>
      <c r="T55">
        <v>9409</v>
      </c>
      <c r="U55">
        <v>9409</v>
      </c>
      <c r="V55">
        <v>1372676</v>
      </c>
      <c r="W55">
        <v>1372676</v>
      </c>
      <c r="X55">
        <v>1372676</v>
      </c>
      <c r="Y55">
        <v>1372676</v>
      </c>
      <c r="Z55">
        <v>1372676</v>
      </c>
      <c r="AA55">
        <v>1372676</v>
      </c>
      <c r="AB55">
        <v>1372676</v>
      </c>
      <c r="AC55">
        <v>1372676</v>
      </c>
      <c r="AD55">
        <v>1372676</v>
      </c>
      <c r="AE55">
        <v>1372676</v>
      </c>
      <c r="AF55">
        <v>1372676</v>
      </c>
      <c r="AG55">
        <v>1372676</v>
      </c>
      <c r="AH55">
        <v>1372676</v>
      </c>
      <c r="AI55">
        <v>1372676</v>
      </c>
      <c r="AJ55">
        <v>1372676</v>
      </c>
      <c r="AK55">
        <v>1372676</v>
      </c>
      <c r="AL55">
        <v>1372676</v>
      </c>
      <c r="AM55">
        <v>1372676</v>
      </c>
      <c r="AN55">
        <v>1372676</v>
      </c>
      <c r="AO55">
        <v>1372676</v>
      </c>
      <c r="AP55">
        <v>24623161</v>
      </c>
      <c r="AQ55">
        <v>24623161</v>
      </c>
      <c r="AR55">
        <v>24623161</v>
      </c>
      <c r="AS55">
        <v>24623161</v>
      </c>
      <c r="AT55">
        <v>24623161</v>
      </c>
      <c r="AU55">
        <v>24623161</v>
      </c>
      <c r="AV55">
        <v>24623161</v>
      </c>
      <c r="AW55">
        <v>24623161</v>
      </c>
      <c r="AX55">
        <v>24623161</v>
      </c>
      <c r="AY55">
        <v>24623161</v>
      </c>
      <c r="AZ55">
        <v>24623161</v>
      </c>
      <c r="BA55">
        <v>24623161</v>
      </c>
      <c r="BB55">
        <v>24623161</v>
      </c>
      <c r="BC55">
        <v>24623161</v>
      </c>
      <c r="BD55">
        <v>24623161</v>
      </c>
      <c r="BE55">
        <v>24623161</v>
      </c>
      <c r="BF55">
        <v>24623161</v>
      </c>
      <c r="BG55">
        <v>24623161</v>
      </c>
      <c r="BH55">
        <v>24623161</v>
      </c>
      <c r="BI55">
        <v>24623161</v>
      </c>
    </row>
    <row r="56" spans="1:61" x14ac:dyDescent="0.25">
      <c r="A56" t="s">
        <v>9</v>
      </c>
      <c r="B56">
        <v>3109685</v>
      </c>
      <c r="C56">
        <v>2378152</v>
      </c>
      <c r="D56">
        <v>3395793</v>
      </c>
      <c r="E56">
        <v>5685851</v>
      </c>
      <c r="F56">
        <v>6309</v>
      </c>
      <c r="G56">
        <v>5924752</v>
      </c>
      <c r="H56">
        <v>1239076</v>
      </c>
      <c r="I56">
        <v>6409418</v>
      </c>
      <c r="J56">
        <v>1234251</v>
      </c>
      <c r="K56">
        <v>84</v>
      </c>
      <c r="L56">
        <v>5050235</v>
      </c>
      <c r="M56">
        <v>2373143</v>
      </c>
      <c r="N56">
        <v>10793</v>
      </c>
      <c r="O56">
        <v>3037893</v>
      </c>
      <c r="P56">
        <v>16268</v>
      </c>
      <c r="Q56">
        <v>7250</v>
      </c>
      <c r="R56">
        <v>29794</v>
      </c>
      <c r="S56">
        <v>4184</v>
      </c>
      <c r="T56">
        <v>2107359</v>
      </c>
      <c r="U56">
        <v>1151343</v>
      </c>
      <c r="V56">
        <v>1969802</v>
      </c>
      <c r="W56">
        <v>1945135</v>
      </c>
      <c r="X56">
        <v>7494618</v>
      </c>
      <c r="Y56">
        <v>3562342</v>
      </c>
      <c r="Z56">
        <v>1948270</v>
      </c>
      <c r="AA56">
        <v>3129593</v>
      </c>
      <c r="AB56">
        <v>15959</v>
      </c>
      <c r="AC56">
        <v>6673417</v>
      </c>
      <c r="AD56">
        <v>8754151</v>
      </c>
      <c r="AE56">
        <v>3166027</v>
      </c>
      <c r="AF56">
        <v>18201</v>
      </c>
      <c r="AG56">
        <v>10967</v>
      </c>
      <c r="AH56">
        <v>9242</v>
      </c>
      <c r="AI56">
        <v>7060071</v>
      </c>
      <c r="AJ56">
        <v>7263609</v>
      </c>
      <c r="AK56">
        <v>2584</v>
      </c>
      <c r="AL56">
        <v>5369601</v>
      </c>
      <c r="AM56">
        <v>1385218</v>
      </c>
      <c r="AN56">
        <v>10066152</v>
      </c>
      <c r="AO56">
        <v>11284</v>
      </c>
      <c r="AP56">
        <v>64102629</v>
      </c>
      <c r="AQ56">
        <v>27905012</v>
      </c>
      <c r="AR56">
        <v>15055837</v>
      </c>
      <c r="AS56">
        <v>64419345</v>
      </c>
      <c r="AT56">
        <v>52970220</v>
      </c>
      <c r="AU56">
        <v>45457645</v>
      </c>
      <c r="AV56">
        <v>34411285</v>
      </c>
      <c r="AW56">
        <v>34382920</v>
      </c>
      <c r="AX56">
        <v>16137936</v>
      </c>
      <c r="AY56">
        <v>36188697</v>
      </c>
      <c r="AZ56">
        <v>30686669</v>
      </c>
      <c r="BA56">
        <v>4427</v>
      </c>
      <c r="BB56">
        <v>47967378</v>
      </c>
      <c r="BC56">
        <v>23636046</v>
      </c>
      <c r="BD56">
        <v>14586385</v>
      </c>
      <c r="BE56">
        <v>30836194</v>
      </c>
      <c r="BF56">
        <v>26969169</v>
      </c>
      <c r="BG56">
        <v>26005887</v>
      </c>
      <c r="BH56">
        <v>16634405</v>
      </c>
      <c r="BI56">
        <v>26840736</v>
      </c>
    </row>
    <row r="57" spans="1:61" x14ac:dyDescent="0.25">
      <c r="A57" t="s">
        <v>10</v>
      </c>
      <c r="B57">
        <v>6859</v>
      </c>
      <c r="C57">
        <v>4300</v>
      </c>
      <c r="D57">
        <v>0</v>
      </c>
      <c r="E57">
        <v>0</v>
      </c>
      <c r="F57">
        <v>13051</v>
      </c>
      <c r="G57">
        <v>93976</v>
      </c>
      <c r="H57">
        <v>0</v>
      </c>
      <c r="I57">
        <v>4925</v>
      </c>
      <c r="J57">
        <v>84</v>
      </c>
      <c r="K57">
        <v>88318</v>
      </c>
      <c r="L57">
        <v>9909</v>
      </c>
      <c r="M57">
        <v>3934</v>
      </c>
      <c r="N57">
        <v>5842</v>
      </c>
      <c r="O57">
        <v>2717</v>
      </c>
      <c r="P57">
        <v>15177</v>
      </c>
      <c r="Q57">
        <v>2717</v>
      </c>
      <c r="R57">
        <v>4184</v>
      </c>
      <c r="S57">
        <v>4018</v>
      </c>
      <c r="T57">
        <v>14359</v>
      </c>
      <c r="U57">
        <v>2950</v>
      </c>
      <c r="V57">
        <v>11476</v>
      </c>
      <c r="W57">
        <v>29986</v>
      </c>
      <c r="X57">
        <v>7270043</v>
      </c>
      <c r="Y57">
        <v>22477</v>
      </c>
      <c r="Z57">
        <v>1388577</v>
      </c>
      <c r="AA57">
        <v>26160</v>
      </c>
      <c r="AB57">
        <v>21801</v>
      </c>
      <c r="AC57">
        <v>12759</v>
      </c>
      <c r="AD57">
        <v>6917619</v>
      </c>
      <c r="AE57">
        <v>1368859</v>
      </c>
      <c r="AF57">
        <v>4944710</v>
      </c>
      <c r="AG57">
        <v>3827110</v>
      </c>
      <c r="AH57">
        <v>59785</v>
      </c>
      <c r="AI57">
        <v>1982929</v>
      </c>
      <c r="AJ57">
        <v>3950868</v>
      </c>
      <c r="AK57">
        <v>25851</v>
      </c>
      <c r="AL57">
        <v>3160476</v>
      </c>
      <c r="AM57">
        <v>2159</v>
      </c>
      <c r="AN57">
        <v>20251</v>
      </c>
      <c r="AO57">
        <v>6277011</v>
      </c>
      <c r="AP57">
        <v>24923545</v>
      </c>
      <c r="AQ57">
        <v>33998405</v>
      </c>
      <c r="AR57">
        <v>52136936</v>
      </c>
      <c r="AS57">
        <v>3053</v>
      </c>
      <c r="AT57">
        <v>56157304</v>
      </c>
      <c r="AU57">
        <v>33018219</v>
      </c>
      <c r="AV57">
        <v>19644151</v>
      </c>
      <c r="AW57">
        <v>66014546</v>
      </c>
      <c r="AX57">
        <v>33087</v>
      </c>
      <c r="AY57">
        <v>16957652</v>
      </c>
      <c r="AZ57">
        <v>42305419</v>
      </c>
      <c r="BA57">
        <v>10946952</v>
      </c>
      <c r="BB57">
        <v>9631003</v>
      </c>
      <c r="BC57">
        <v>5293</v>
      </c>
      <c r="BD57">
        <v>59703662</v>
      </c>
      <c r="BE57">
        <v>14586352</v>
      </c>
      <c r="BF57">
        <v>45431002</v>
      </c>
      <c r="BG57">
        <v>33433087</v>
      </c>
      <c r="BH57">
        <v>17793154</v>
      </c>
      <c r="BI57">
        <v>52326580</v>
      </c>
    </row>
    <row r="58" spans="1:61" x14ac:dyDescent="0.25">
      <c r="A58" t="s">
        <v>11</v>
      </c>
      <c r="B58">
        <v>0</v>
      </c>
      <c r="C58">
        <v>2027826</v>
      </c>
      <c r="D58">
        <v>3389426</v>
      </c>
      <c r="E58">
        <v>15185</v>
      </c>
      <c r="F58">
        <v>2031751</v>
      </c>
      <c r="G58">
        <v>0</v>
      </c>
      <c r="H58">
        <v>4925</v>
      </c>
      <c r="I58">
        <v>7709</v>
      </c>
      <c r="J58">
        <v>9909</v>
      </c>
      <c r="K58">
        <v>0</v>
      </c>
      <c r="L58">
        <v>4300</v>
      </c>
      <c r="M58">
        <v>12734</v>
      </c>
      <c r="N58">
        <v>2550</v>
      </c>
      <c r="O58">
        <v>3395025</v>
      </c>
      <c r="P58">
        <v>10392</v>
      </c>
      <c r="Q58">
        <v>30344</v>
      </c>
      <c r="R58">
        <v>16501</v>
      </c>
      <c r="S58">
        <v>8826</v>
      </c>
      <c r="T58">
        <v>3542</v>
      </c>
      <c r="U58">
        <v>3019234</v>
      </c>
      <c r="V58">
        <v>5008267</v>
      </c>
      <c r="W58">
        <v>7741084</v>
      </c>
      <c r="X58">
        <v>5759</v>
      </c>
      <c r="Y58">
        <v>4567</v>
      </c>
      <c r="Z58">
        <v>6204286</v>
      </c>
      <c r="AA58">
        <v>6279852</v>
      </c>
      <c r="AB58">
        <v>6213710</v>
      </c>
      <c r="AC58">
        <v>8599552</v>
      </c>
      <c r="AD58">
        <v>42820</v>
      </c>
      <c r="AE58">
        <v>3925702</v>
      </c>
      <c r="AF58">
        <v>8149885</v>
      </c>
      <c r="AG58">
        <v>3563726</v>
      </c>
      <c r="AH58">
        <v>6747811</v>
      </c>
      <c r="AI58">
        <v>16092</v>
      </c>
      <c r="AJ58">
        <v>13668</v>
      </c>
      <c r="AK58">
        <v>1961387</v>
      </c>
      <c r="AL58">
        <v>39626</v>
      </c>
      <c r="AM58">
        <v>1380210</v>
      </c>
      <c r="AN58">
        <v>10294326</v>
      </c>
      <c r="AO58">
        <v>53518</v>
      </c>
      <c r="AP58">
        <v>47663635</v>
      </c>
      <c r="AQ58">
        <v>33432578</v>
      </c>
      <c r="AR58">
        <v>38680102</v>
      </c>
      <c r="AS58">
        <v>24769852</v>
      </c>
      <c r="AT58">
        <v>6679</v>
      </c>
      <c r="AU58">
        <v>15128395</v>
      </c>
      <c r="AV58">
        <v>58936361</v>
      </c>
      <c r="AW58">
        <v>9664696</v>
      </c>
      <c r="AX58">
        <v>4754</v>
      </c>
      <c r="AY58">
        <v>31181062</v>
      </c>
      <c r="AZ58">
        <v>33090146</v>
      </c>
      <c r="BA58">
        <v>24766588</v>
      </c>
      <c r="BB58">
        <v>30709618</v>
      </c>
      <c r="BC58">
        <v>54339403</v>
      </c>
      <c r="BD58">
        <v>11268668</v>
      </c>
      <c r="BE58">
        <v>16476971</v>
      </c>
      <c r="BF58">
        <v>50771879</v>
      </c>
      <c r="BG58">
        <v>9630434</v>
      </c>
      <c r="BH58">
        <v>33759861</v>
      </c>
      <c r="BI58">
        <v>32834803</v>
      </c>
    </row>
    <row r="59" spans="1:61" ht="15" customHeight="1" x14ac:dyDescent="0.25">
      <c r="A59" s="1" t="s">
        <v>12</v>
      </c>
      <c r="B59">
        <v>14201</v>
      </c>
      <c r="C59">
        <v>2445051</v>
      </c>
      <c r="D59">
        <v>2663667</v>
      </c>
      <c r="E59">
        <v>8559</v>
      </c>
      <c r="F59">
        <v>0</v>
      </c>
      <c r="G59">
        <v>2663667</v>
      </c>
      <c r="H59">
        <v>86267</v>
      </c>
      <c r="I59">
        <v>5842</v>
      </c>
      <c r="J59">
        <v>28010</v>
      </c>
      <c r="K59">
        <v>6792</v>
      </c>
      <c r="L59">
        <v>1150201</v>
      </c>
      <c r="M59">
        <v>2358784</v>
      </c>
      <c r="N59">
        <v>0</v>
      </c>
      <c r="O59">
        <v>16101</v>
      </c>
      <c r="P59">
        <v>0</v>
      </c>
      <c r="Q59">
        <v>6092</v>
      </c>
      <c r="R59">
        <v>2031118</v>
      </c>
      <c r="S59">
        <v>4300</v>
      </c>
      <c r="T59">
        <v>2373385</v>
      </c>
      <c r="U59">
        <v>98901</v>
      </c>
      <c r="V59">
        <v>22269</v>
      </c>
      <c r="W59">
        <v>6860151</v>
      </c>
      <c r="X59">
        <v>11863927</v>
      </c>
      <c r="Y59">
        <v>11443</v>
      </c>
      <c r="Z59">
        <v>5740510</v>
      </c>
      <c r="AA59">
        <v>3823709</v>
      </c>
      <c r="AB59">
        <v>12652</v>
      </c>
      <c r="AC59">
        <v>3156134</v>
      </c>
      <c r="AD59">
        <v>5008192</v>
      </c>
      <c r="AE59">
        <v>3190777</v>
      </c>
      <c r="AF59">
        <v>1361634</v>
      </c>
      <c r="AG59">
        <v>15709</v>
      </c>
      <c r="AH59">
        <v>2489668</v>
      </c>
      <c r="AI59">
        <v>6221877</v>
      </c>
      <c r="AJ59">
        <v>5071368</v>
      </c>
      <c r="AK59">
        <v>5010109</v>
      </c>
      <c r="AL59">
        <v>3573060</v>
      </c>
      <c r="AM59">
        <v>6392052</v>
      </c>
      <c r="AN59">
        <v>6064001</v>
      </c>
      <c r="AO59">
        <v>25009</v>
      </c>
      <c r="AP59">
        <v>57784311</v>
      </c>
      <c r="AQ59">
        <v>24343219</v>
      </c>
      <c r="AR59">
        <v>34720795</v>
      </c>
      <c r="AS59">
        <v>23358318</v>
      </c>
      <c r="AT59">
        <v>36190944</v>
      </c>
      <c r="AU59">
        <v>59491413</v>
      </c>
      <c r="AV59">
        <v>19582072</v>
      </c>
      <c r="AW59">
        <v>10885</v>
      </c>
      <c r="AX59">
        <v>44004502</v>
      </c>
      <c r="AY59">
        <v>52547205</v>
      </c>
      <c r="AZ59">
        <v>45768562</v>
      </c>
      <c r="BA59">
        <v>34221523</v>
      </c>
      <c r="BB59">
        <v>14584509</v>
      </c>
      <c r="BC59">
        <v>10978521</v>
      </c>
      <c r="BD59">
        <v>24054752</v>
      </c>
      <c r="BE59">
        <v>22731986</v>
      </c>
      <c r="BF59">
        <v>24182978</v>
      </c>
      <c r="BG59">
        <v>27980713</v>
      </c>
      <c r="BH59">
        <v>68131736</v>
      </c>
      <c r="BI59">
        <v>13454821</v>
      </c>
    </row>
    <row r="60" spans="1:61" x14ac:dyDescent="0.25">
      <c r="A60" t="s">
        <v>13</v>
      </c>
      <c r="B60">
        <v>2021092</v>
      </c>
      <c r="C60">
        <v>13843</v>
      </c>
      <c r="D60">
        <v>13094</v>
      </c>
      <c r="E60">
        <v>92109</v>
      </c>
      <c r="F60">
        <v>10334</v>
      </c>
      <c r="G60">
        <v>3026093</v>
      </c>
      <c r="H60">
        <v>18193</v>
      </c>
      <c r="I60">
        <v>2025392</v>
      </c>
      <c r="J60">
        <v>2023809</v>
      </c>
      <c r="K60">
        <v>30352</v>
      </c>
      <c r="L60">
        <v>4184</v>
      </c>
      <c r="M60">
        <v>4925</v>
      </c>
      <c r="N60">
        <v>3109685</v>
      </c>
      <c r="O60">
        <v>1146017</v>
      </c>
      <c r="P60">
        <v>2663667</v>
      </c>
      <c r="Q60">
        <v>0</v>
      </c>
      <c r="R60">
        <v>2950</v>
      </c>
      <c r="S60">
        <v>15185</v>
      </c>
      <c r="T60">
        <v>6561735</v>
      </c>
      <c r="U60">
        <v>3040452</v>
      </c>
      <c r="V60">
        <v>15468</v>
      </c>
      <c r="W60">
        <v>10821260</v>
      </c>
      <c r="X60">
        <v>3749084</v>
      </c>
      <c r="Y60">
        <v>40135</v>
      </c>
      <c r="Z60">
        <v>1575</v>
      </c>
      <c r="AA60">
        <v>3170629</v>
      </c>
      <c r="AB60">
        <v>1379269</v>
      </c>
      <c r="AC60">
        <v>6864593</v>
      </c>
      <c r="AD60">
        <v>3934168</v>
      </c>
      <c r="AE60">
        <v>2457634</v>
      </c>
      <c r="AF60">
        <v>6180401</v>
      </c>
      <c r="AG60">
        <v>8968160</v>
      </c>
      <c r="AH60">
        <v>4751</v>
      </c>
      <c r="AI60">
        <v>1025</v>
      </c>
      <c r="AJ60">
        <v>3746659</v>
      </c>
      <c r="AK60">
        <v>3114443</v>
      </c>
      <c r="AL60">
        <v>6078810</v>
      </c>
      <c r="AM60">
        <v>21093</v>
      </c>
      <c r="AN60">
        <v>4009</v>
      </c>
      <c r="AO60">
        <v>6378543</v>
      </c>
      <c r="AP60">
        <v>55954720</v>
      </c>
      <c r="AQ60">
        <v>4719</v>
      </c>
      <c r="AR60">
        <v>32618211</v>
      </c>
      <c r="AS60">
        <v>23620820</v>
      </c>
      <c r="AT60">
        <v>44153304</v>
      </c>
      <c r="AU60">
        <v>64594264</v>
      </c>
      <c r="AV60">
        <v>24036851</v>
      </c>
      <c r="AW60">
        <v>44190911</v>
      </c>
      <c r="AX60">
        <v>49573721</v>
      </c>
      <c r="AY60">
        <v>42952901</v>
      </c>
      <c r="AZ60">
        <v>14590237</v>
      </c>
      <c r="BA60">
        <v>19651389</v>
      </c>
      <c r="BB60">
        <v>34228545</v>
      </c>
      <c r="BC60">
        <v>834</v>
      </c>
      <c r="BD60">
        <v>27559444</v>
      </c>
      <c r="BE60">
        <v>46880670</v>
      </c>
      <c r="BF60">
        <v>41020143</v>
      </c>
      <c r="BG60">
        <v>21857571</v>
      </c>
      <c r="BH60">
        <v>21414618</v>
      </c>
      <c r="BI60">
        <v>2685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H12"/>
  <sheetViews>
    <sheetView zoomScaleNormal="100" workbookViewId="0">
      <selection activeCell="M70" sqref="M70"/>
    </sheetView>
  </sheetViews>
  <sheetFormatPr defaultColWidth="8.5703125" defaultRowHeight="15" x14ac:dyDescent="0.25"/>
  <sheetData>
    <row r="1" spans="1:34" ht="15" customHeight="1" x14ac:dyDescent="0.25">
      <c r="A1" s="4" t="s">
        <v>15</v>
      </c>
    </row>
    <row r="2" spans="1:34" x14ac:dyDescent="0.25">
      <c r="B2" t="s">
        <v>18</v>
      </c>
      <c r="C2" t="s">
        <v>18</v>
      </c>
      <c r="D2" t="s">
        <v>18</v>
      </c>
      <c r="E2" t="s">
        <v>18</v>
      </c>
      <c r="F2" t="s">
        <v>18</v>
      </c>
      <c r="G2" t="s">
        <v>18</v>
      </c>
      <c r="H2" t="s">
        <v>18</v>
      </c>
      <c r="I2" t="s">
        <v>18</v>
      </c>
      <c r="J2" t="s">
        <v>18</v>
      </c>
      <c r="K2" t="s">
        <v>18</v>
      </c>
      <c r="L2" t="s">
        <v>19</v>
      </c>
      <c r="M2" t="s">
        <v>18</v>
      </c>
      <c r="N2" t="s">
        <v>18</v>
      </c>
      <c r="O2" t="s">
        <v>18</v>
      </c>
      <c r="P2" t="s">
        <v>18</v>
      </c>
      <c r="Q2" t="s">
        <v>18</v>
      </c>
      <c r="R2" t="s">
        <v>18</v>
      </c>
      <c r="S2" t="s">
        <v>18</v>
      </c>
      <c r="T2" t="s">
        <v>18</v>
      </c>
      <c r="U2" t="s">
        <v>18</v>
      </c>
      <c r="V2" t="s">
        <v>18</v>
      </c>
      <c r="W2" t="s">
        <v>19</v>
      </c>
      <c r="X2" t="s">
        <v>18</v>
      </c>
      <c r="Y2" t="s">
        <v>18</v>
      </c>
      <c r="Z2" t="s">
        <v>18</v>
      </c>
      <c r="AA2" t="s">
        <v>18</v>
      </c>
      <c r="AB2" t="s">
        <v>18</v>
      </c>
      <c r="AC2" t="s">
        <v>18</v>
      </c>
      <c r="AD2" t="s">
        <v>18</v>
      </c>
      <c r="AE2" t="s">
        <v>18</v>
      </c>
      <c r="AF2" t="s">
        <v>18</v>
      </c>
      <c r="AG2" t="s">
        <v>18</v>
      </c>
      <c r="AH2" t="s">
        <v>19</v>
      </c>
    </row>
    <row r="3" spans="1:34" x14ac:dyDescent="0.25"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2</v>
      </c>
      <c r="N3">
        <v>2</v>
      </c>
      <c r="O3">
        <v>2</v>
      </c>
      <c r="P3">
        <v>2</v>
      </c>
      <c r="Q3">
        <v>2</v>
      </c>
      <c r="R3">
        <v>2</v>
      </c>
      <c r="S3">
        <v>2</v>
      </c>
      <c r="T3">
        <v>2</v>
      </c>
      <c r="U3">
        <v>2</v>
      </c>
      <c r="V3">
        <v>2</v>
      </c>
      <c r="W3">
        <v>2</v>
      </c>
      <c r="X3">
        <v>3</v>
      </c>
      <c r="Y3">
        <v>3</v>
      </c>
      <c r="Z3">
        <v>3</v>
      </c>
      <c r="AA3">
        <v>3</v>
      </c>
      <c r="AB3">
        <v>3</v>
      </c>
      <c r="AC3">
        <v>3</v>
      </c>
      <c r="AD3">
        <v>3</v>
      </c>
      <c r="AE3">
        <v>3</v>
      </c>
      <c r="AF3">
        <v>3</v>
      </c>
      <c r="AG3">
        <v>3</v>
      </c>
      <c r="AH3">
        <v>3</v>
      </c>
    </row>
    <row r="4" spans="1:34" x14ac:dyDescent="0.25">
      <c r="A4" t="s">
        <v>16</v>
      </c>
      <c r="B4">
        <v>1</v>
      </c>
      <c r="C4">
        <v>2</v>
      </c>
      <c r="D4">
        <v>3</v>
      </c>
      <c r="E4">
        <v>4</v>
      </c>
      <c r="F4">
        <v>5</v>
      </c>
      <c r="G4">
        <v>6</v>
      </c>
      <c r="H4">
        <v>7</v>
      </c>
      <c r="I4">
        <v>8</v>
      </c>
      <c r="J4">
        <v>9</v>
      </c>
      <c r="K4">
        <v>10</v>
      </c>
      <c r="L4">
        <v>11</v>
      </c>
      <c r="M4">
        <v>1</v>
      </c>
      <c r="N4">
        <v>2</v>
      </c>
      <c r="O4">
        <v>3</v>
      </c>
      <c r="P4">
        <v>4</v>
      </c>
      <c r="Q4">
        <v>5</v>
      </c>
      <c r="R4">
        <v>6</v>
      </c>
      <c r="S4">
        <v>7</v>
      </c>
      <c r="T4">
        <v>8</v>
      </c>
      <c r="U4">
        <v>9</v>
      </c>
      <c r="V4">
        <v>10</v>
      </c>
      <c r="W4">
        <v>11</v>
      </c>
      <c r="X4">
        <v>1</v>
      </c>
      <c r="Y4">
        <v>2</v>
      </c>
      <c r="Z4">
        <v>3</v>
      </c>
      <c r="AA4">
        <v>4</v>
      </c>
      <c r="AB4">
        <v>5</v>
      </c>
      <c r="AC4">
        <v>6</v>
      </c>
      <c r="AD4">
        <v>7</v>
      </c>
      <c r="AE4">
        <v>8</v>
      </c>
      <c r="AF4">
        <v>9</v>
      </c>
      <c r="AG4">
        <v>10</v>
      </c>
      <c r="AH4">
        <v>11</v>
      </c>
    </row>
    <row r="5" spans="1:34" x14ac:dyDescent="0.25">
      <c r="A5" t="s">
        <v>6</v>
      </c>
      <c r="B5">
        <v>3639507.4545454551</v>
      </c>
      <c r="C5">
        <v>2692241.1818181821</v>
      </c>
      <c r="D5">
        <v>3487169.1818181821</v>
      </c>
      <c r="E5">
        <v>3369791.8181818179</v>
      </c>
      <c r="F5">
        <v>4371247.0909090908</v>
      </c>
      <c r="G5">
        <v>18790</v>
      </c>
      <c r="H5">
        <v>17189.090909090912</v>
      </c>
      <c r="I5">
        <v>48931.818181818177</v>
      </c>
      <c r="J5">
        <v>27691.81818181818</v>
      </c>
      <c r="K5">
        <v>15775.45454545455</v>
      </c>
      <c r="L5">
        <v>10223693.63636364</v>
      </c>
      <c r="M5">
        <v>6525729.5454545459</v>
      </c>
      <c r="N5">
        <v>4439569.8181818184</v>
      </c>
      <c r="O5">
        <v>5056062.7272727285</v>
      </c>
      <c r="P5">
        <v>4354791.8181818184</v>
      </c>
      <c r="Q5">
        <v>5941442.8181818184</v>
      </c>
      <c r="R5">
        <v>2407326.0909090908</v>
      </c>
      <c r="S5">
        <v>3120893.3636363642</v>
      </c>
      <c r="T5">
        <v>3887094.5454545449</v>
      </c>
      <c r="U5">
        <v>3291301.8181818179</v>
      </c>
      <c r="V5">
        <v>4381701.9090909092</v>
      </c>
      <c r="W5">
        <v>23513202.63636364</v>
      </c>
      <c r="X5">
        <v>21886685.454545449</v>
      </c>
      <c r="Y5">
        <v>20940833.545454551</v>
      </c>
      <c r="Z5">
        <v>28898396.09090909</v>
      </c>
      <c r="AA5">
        <v>28800131.27272727</v>
      </c>
      <c r="AB5">
        <v>25515730</v>
      </c>
      <c r="AC5">
        <v>107059749.1818182</v>
      </c>
      <c r="AD5">
        <v>71803000.63636364</v>
      </c>
      <c r="AE5">
        <v>93477673.727272734</v>
      </c>
      <c r="AF5">
        <v>99225938.818181813</v>
      </c>
      <c r="AG5">
        <v>75100417.63636364</v>
      </c>
      <c r="AH5">
        <v>118476901.09090909</v>
      </c>
    </row>
    <row r="6" spans="1:34" x14ac:dyDescent="0.25">
      <c r="A6" t="s">
        <v>7</v>
      </c>
      <c r="B6">
        <v>2491579.5454545449</v>
      </c>
      <c r="C6">
        <v>2934498.8181818179</v>
      </c>
      <c r="D6">
        <v>3969677.5454545449</v>
      </c>
      <c r="E6">
        <v>2646807</v>
      </c>
      <c r="F6">
        <v>4756507.0909090908</v>
      </c>
      <c r="G6">
        <v>24122.727272727268</v>
      </c>
      <c r="H6">
        <v>22634.54545454546</v>
      </c>
      <c r="I6">
        <v>11026.36363636364</v>
      </c>
      <c r="J6">
        <v>22343.63636363636</v>
      </c>
      <c r="K6">
        <v>12088.18181818182</v>
      </c>
      <c r="L6">
        <v>9972883.7272727266</v>
      </c>
      <c r="M6">
        <v>5742878.0909090908</v>
      </c>
      <c r="N6">
        <v>5392364.0909090908</v>
      </c>
      <c r="O6">
        <v>5307307.1818181816</v>
      </c>
      <c r="P6">
        <v>5595619.4545454541</v>
      </c>
      <c r="Q6">
        <v>3494477.6363636358</v>
      </c>
      <c r="R6">
        <v>3371687.2727272729</v>
      </c>
      <c r="S6">
        <v>3046902.7272727271</v>
      </c>
      <c r="T6">
        <v>2677280.9090909092</v>
      </c>
      <c r="U6">
        <v>3923733.6363636358</v>
      </c>
      <c r="V6">
        <v>2555640.9090909092</v>
      </c>
      <c r="W6">
        <v>24218044.90909091</v>
      </c>
      <c r="X6">
        <v>22335449.454545449</v>
      </c>
      <c r="Y6">
        <v>22062292.81818182</v>
      </c>
      <c r="Z6">
        <v>26701300.27272727</v>
      </c>
      <c r="AA6">
        <v>27187679.90909091</v>
      </c>
      <c r="AB6">
        <v>22466609.81818182</v>
      </c>
      <c r="AC6">
        <v>65057746.363636367</v>
      </c>
      <c r="AD6">
        <v>81133925.454545453</v>
      </c>
      <c r="AE6">
        <v>92257500.909090906</v>
      </c>
      <c r="AF6">
        <v>96054394.545454547</v>
      </c>
      <c r="AG6">
        <v>90805083.63636364</v>
      </c>
      <c r="AH6">
        <v>136035366.5454545</v>
      </c>
    </row>
    <row r="7" spans="1:34" x14ac:dyDescent="0.25">
      <c r="A7" t="s">
        <v>8</v>
      </c>
      <c r="B7">
        <v>6171925.4545454541</v>
      </c>
      <c r="C7">
        <v>5500290.9090909092</v>
      </c>
      <c r="D7">
        <v>4851985.4545454541</v>
      </c>
      <c r="E7">
        <v>4296516.3636363633</v>
      </c>
      <c r="F7">
        <v>3682320</v>
      </c>
      <c r="G7">
        <v>2508981.8181818179</v>
      </c>
      <c r="H7">
        <v>195945.45454545459</v>
      </c>
      <c r="I7">
        <v>38654.545454545463</v>
      </c>
      <c r="J7">
        <v>28054.54545454546</v>
      </c>
      <c r="K7">
        <v>22745.45454545454</v>
      </c>
      <c r="L7">
        <v>17107.272727272732</v>
      </c>
      <c r="M7">
        <v>9184381.8181818184</v>
      </c>
      <c r="N7">
        <v>7179563.6363636367</v>
      </c>
      <c r="O7">
        <v>6960836.3636363633</v>
      </c>
      <c r="P7">
        <v>6835410.9090909092</v>
      </c>
      <c r="Q7">
        <v>6500563.6363636367</v>
      </c>
      <c r="R7">
        <v>6905109.0909090908</v>
      </c>
      <c r="S7">
        <v>6813381.8181818184</v>
      </c>
      <c r="T7">
        <v>5386254.5454545459</v>
      </c>
      <c r="U7">
        <v>4936509.0909090908</v>
      </c>
      <c r="V7">
        <v>4246981.8181818184</v>
      </c>
      <c r="W7">
        <v>2495774.5454545449</v>
      </c>
      <c r="X7">
        <v>77672418.181818187</v>
      </c>
      <c r="Y7">
        <v>75059445.454545453</v>
      </c>
      <c r="Z7">
        <v>65320170.909090906</v>
      </c>
      <c r="AA7">
        <v>53110763.636363633</v>
      </c>
      <c r="AB7">
        <v>51747323.636363633</v>
      </c>
      <c r="AC7">
        <v>61823745.454545453</v>
      </c>
      <c r="AD7">
        <v>60068690.909090906</v>
      </c>
      <c r="AE7">
        <v>57508563.636363633</v>
      </c>
      <c r="AF7">
        <v>57136618.18181818</v>
      </c>
      <c r="AG7">
        <v>55702072.727272727</v>
      </c>
      <c r="AH7">
        <v>44769383.636363633</v>
      </c>
    </row>
    <row r="8" spans="1:34" x14ac:dyDescent="0.25">
      <c r="A8" t="s">
        <v>9</v>
      </c>
      <c r="B8">
        <v>3426138.7272727271</v>
      </c>
      <c r="C8">
        <v>2191120.7272727271</v>
      </c>
      <c r="D8">
        <v>1614189.9090909089</v>
      </c>
      <c r="E8">
        <v>2261476.9090909092</v>
      </c>
      <c r="F8">
        <v>2307961.6363636358</v>
      </c>
      <c r="G8">
        <v>1557057.2727272729</v>
      </c>
      <c r="H8">
        <v>1523215.4545454551</v>
      </c>
      <c r="I8">
        <v>3881328.1818181821</v>
      </c>
      <c r="J8">
        <v>2948946.3636363642</v>
      </c>
      <c r="K8">
        <v>3437311.8181818179</v>
      </c>
      <c r="L8">
        <v>3924693.9090909092</v>
      </c>
      <c r="M8">
        <v>5599273.4545454541</v>
      </c>
      <c r="N8">
        <v>5314583.2727272715</v>
      </c>
      <c r="O8">
        <v>3132868.2727272729</v>
      </c>
      <c r="P8">
        <v>6518061.4545454541</v>
      </c>
      <c r="Q8">
        <v>5660478.9090909092</v>
      </c>
      <c r="R8">
        <v>7599201.8181818184</v>
      </c>
      <c r="S8">
        <v>6534077.2727272715</v>
      </c>
      <c r="T8">
        <v>5341500</v>
      </c>
      <c r="U8">
        <v>10482980.90909091</v>
      </c>
      <c r="V8">
        <v>6227313.6363636367</v>
      </c>
      <c r="W8">
        <v>6350567.5454545459</v>
      </c>
      <c r="X8">
        <v>60907461.727272727</v>
      </c>
      <c r="Y8">
        <v>50027725.81818182</v>
      </c>
      <c r="Z8">
        <v>55943013.090909094</v>
      </c>
      <c r="AA8">
        <v>44940162.454545453</v>
      </c>
      <c r="AB8">
        <v>64599191.636363633</v>
      </c>
      <c r="AC8">
        <v>80714597.272727266</v>
      </c>
      <c r="AD8">
        <v>71819532.727272734</v>
      </c>
      <c r="AE8">
        <v>52113448.18181818</v>
      </c>
      <c r="AF8">
        <v>54937346.363636367</v>
      </c>
      <c r="AG8">
        <v>72874686.36363636</v>
      </c>
      <c r="AH8">
        <v>57745347.454545453</v>
      </c>
    </row>
    <row r="9" spans="1:34" x14ac:dyDescent="0.25">
      <c r="A9" t="s">
        <v>10</v>
      </c>
      <c r="B9">
        <v>3190201</v>
      </c>
      <c r="C9">
        <v>4518329.1818181816</v>
      </c>
      <c r="D9">
        <v>4646324.8181818184</v>
      </c>
      <c r="E9">
        <v>4278231.4545454541</v>
      </c>
      <c r="F9">
        <v>5142745.1818181816</v>
      </c>
      <c r="G9">
        <v>1511704.5454545449</v>
      </c>
      <c r="H9">
        <v>486273.63636363641</v>
      </c>
      <c r="I9">
        <v>1856510.9090909089</v>
      </c>
      <c r="J9">
        <v>1373232.7272727271</v>
      </c>
      <c r="K9">
        <v>829585.45454545459</v>
      </c>
      <c r="L9">
        <v>25210.909090909088</v>
      </c>
      <c r="M9">
        <v>6789058.5454545459</v>
      </c>
      <c r="N9">
        <v>7027646.5454545459</v>
      </c>
      <c r="O9">
        <v>6581260.0909090908</v>
      </c>
      <c r="P9">
        <v>8350551.5454545459</v>
      </c>
      <c r="Q9">
        <v>7101538.2727272715</v>
      </c>
      <c r="R9">
        <v>6894107.2727272715</v>
      </c>
      <c r="S9">
        <v>6244942.7272727285</v>
      </c>
      <c r="T9">
        <v>5805984.5454545459</v>
      </c>
      <c r="U9">
        <v>5033162.7272727285</v>
      </c>
      <c r="V9">
        <v>3770075.4545454551</v>
      </c>
      <c r="W9">
        <v>3756446.0909090908</v>
      </c>
      <c r="X9">
        <v>50094585</v>
      </c>
      <c r="Y9">
        <v>50667865.272727273</v>
      </c>
      <c r="Z9">
        <v>40877259.727272727</v>
      </c>
      <c r="AA9">
        <v>64551874.454545453</v>
      </c>
      <c r="AB9">
        <v>56925271.272727273</v>
      </c>
      <c r="AC9">
        <v>82467420.909090906</v>
      </c>
      <c r="AD9">
        <v>62599820</v>
      </c>
      <c r="AE9">
        <v>81435215.454545453</v>
      </c>
      <c r="AF9">
        <v>64212163.636363633</v>
      </c>
      <c r="AG9">
        <v>62740311.81818182</v>
      </c>
      <c r="AH9">
        <v>53549945.636363633</v>
      </c>
    </row>
    <row r="10" spans="1:34" x14ac:dyDescent="0.25">
      <c r="A10" t="s">
        <v>11</v>
      </c>
      <c r="B10">
        <v>2317048.4545454551</v>
      </c>
      <c r="C10">
        <v>2166675.7272727271</v>
      </c>
      <c r="D10">
        <v>3588733.7272727271</v>
      </c>
      <c r="E10">
        <v>2229814.4545454551</v>
      </c>
      <c r="F10">
        <v>1595539.2727272729</v>
      </c>
      <c r="G10">
        <v>1880767.2727272729</v>
      </c>
      <c r="H10">
        <v>3334814.5454545449</v>
      </c>
      <c r="I10">
        <v>3479953.6363636358</v>
      </c>
      <c r="J10">
        <v>4198280.9090909092</v>
      </c>
      <c r="K10">
        <v>3521164.5454545449</v>
      </c>
      <c r="L10">
        <v>1271834.4545454551</v>
      </c>
      <c r="M10">
        <v>6355063.3636363633</v>
      </c>
      <c r="N10">
        <v>4907885.4545454541</v>
      </c>
      <c r="O10">
        <v>5801846.6363636367</v>
      </c>
      <c r="P10">
        <v>6802514.1818181816</v>
      </c>
      <c r="Q10">
        <v>7552725.7272727285</v>
      </c>
      <c r="R10">
        <v>6086240.9090909092</v>
      </c>
      <c r="S10">
        <v>6184470.9090909092</v>
      </c>
      <c r="T10">
        <v>8064162.7272727285</v>
      </c>
      <c r="U10">
        <v>5443965.4545454541</v>
      </c>
      <c r="V10">
        <v>3475462.7272727271</v>
      </c>
      <c r="W10">
        <v>6931440.7272727285</v>
      </c>
      <c r="X10">
        <v>52970438.727272727</v>
      </c>
      <c r="Y10">
        <v>59545739</v>
      </c>
      <c r="Z10">
        <v>41371414.272727273</v>
      </c>
      <c r="AA10">
        <v>54221764.18181818</v>
      </c>
      <c r="AB10">
        <v>61461213.909090906</v>
      </c>
      <c r="AC10">
        <v>59959835.454545453</v>
      </c>
      <c r="AD10">
        <v>61580756.363636367</v>
      </c>
      <c r="AE10">
        <v>83155750.909090906</v>
      </c>
      <c r="AF10">
        <v>73906810.909090906</v>
      </c>
      <c r="AG10">
        <v>70590910.909090906</v>
      </c>
      <c r="AH10">
        <v>50646953.18181818</v>
      </c>
    </row>
    <row r="11" spans="1:34" x14ac:dyDescent="0.25">
      <c r="A11" t="s">
        <v>12</v>
      </c>
      <c r="B11">
        <v>3101494.1818181821</v>
      </c>
      <c r="C11">
        <v>1900708.7272727271</v>
      </c>
      <c r="D11">
        <v>1934223.2727272729</v>
      </c>
      <c r="E11">
        <v>3061834.1818181821</v>
      </c>
      <c r="F11">
        <v>2529746</v>
      </c>
      <c r="G11">
        <v>2865265.4545454551</v>
      </c>
      <c r="H11">
        <v>5635965.4545454541</v>
      </c>
      <c r="I11">
        <v>1447710.9090909089</v>
      </c>
      <c r="J11">
        <v>3656695.4545454551</v>
      </c>
      <c r="K11">
        <v>1838119.0909090911</v>
      </c>
      <c r="L11">
        <v>1450994.363636364</v>
      </c>
      <c r="M11">
        <v>5402594.9090909092</v>
      </c>
      <c r="N11">
        <v>7847542.5454545459</v>
      </c>
      <c r="O11">
        <v>5166237.3636363633</v>
      </c>
      <c r="P11">
        <v>7305262.5454545459</v>
      </c>
      <c r="Q11">
        <v>5696047</v>
      </c>
      <c r="R11">
        <v>7654840.9090909092</v>
      </c>
      <c r="S11">
        <v>4468721.8181818184</v>
      </c>
      <c r="T11">
        <v>7353965.4545454541</v>
      </c>
      <c r="U11">
        <v>4739661.8181818184</v>
      </c>
      <c r="V11">
        <v>5076108.1818181816</v>
      </c>
      <c r="W11">
        <v>6901295.5454545459</v>
      </c>
      <c r="X11">
        <v>45745751.636363633</v>
      </c>
      <c r="Y11">
        <v>53202905.636363633</v>
      </c>
      <c r="Z11">
        <v>67304318.454545453</v>
      </c>
      <c r="AA11">
        <v>62689509.454545453</v>
      </c>
      <c r="AB11">
        <v>55217525.090909094</v>
      </c>
      <c r="AC11">
        <v>64239334.545454547</v>
      </c>
      <c r="AD11">
        <v>74155506.36363636</v>
      </c>
      <c r="AE11">
        <v>60154809.090909094</v>
      </c>
      <c r="AF11">
        <v>68183520.909090906</v>
      </c>
      <c r="AG11">
        <v>56116410</v>
      </c>
      <c r="AH11">
        <v>58011251.363636367</v>
      </c>
    </row>
    <row r="12" spans="1:34" x14ac:dyDescent="0.25">
      <c r="A12" t="s">
        <v>13</v>
      </c>
      <c r="B12">
        <v>3630390</v>
      </c>
      <c r="C12">
        <v>2365481.4545454551</v>
      </c>
      <c r="D12">
        <v>1152642.0909090911</v>
      </c>
      <c r="E12">
        <v>3687979.4545454551</v>
      </c>
      <c r="F12">
        <v>2229776</v>
      </c>
      <c r="G12">
        <v>4748413.6363636367</v>
      </c>
      <c r="H12">
        <v>1843286.363636364</v>
      </c>
      <c r="I12">
        <v>2835980.9090909092</v>
      </c>
      <c r="J12">
        <v>2772269.0909090908</v>
      </c>
      <c r="K12">
        <v>1522018.1818181821</v>
      </c>
      <c r="L12">
        <v>2347555.5454545449</v>
      </c>
      <c r="M12">
        <v>5557946.3636363633</v>
      </c>
      <c r="N12">
        <v>7492041</v>
      </c>
      <c r="O12">
        <v>6188266.8181818184</v>
      </c>
      <c r="P12">
        <v>4169696</v>
      </c>
      <c r="Q12">
        <v>5321348.5454545459</v>
      </c>
      <c r="R12">
        <v>5295956.3636363633</v>
      </c>
      <c r="S12">
        <v>7352121.8181818184</v>
      </c>
      <c r="T12">
        <v>7669376.3636363633</v>
      </c>
      <c r="U12">
        <v>7590022.7272727285</v>
      </c>
      <c r="V12">
        <v>5591796.3636363633</v>
      </c>
      <c r="W12">
        <v>6084700.8181818184</v>
      </c>
      <c r="X12">
        <v>42391971.454545453</v>
      </c>
      <c r="Y12">
        <v>52906137.727272727</v>
      </c>
      <c r="Z12">
        <v>55499628.909090906</v>
      </c>
      <c r="AA12">
        <v>51874826.909090906</v>
      </c>
      <c r="AB12">
        <v>51287958.454545453</v>
      </c>
      <c r="AC12">
        <v>61238473.636363633</v>
      </c>
      <c r="AD12">
        <v>62885455.454545453</v>
      </c>
      <c r="AE12">
        <v>58916329.090909094</v>
      </c>
      <c r="AF12">
        <v>79240587.272727266</v>
      </c>
      <c r="AG12">
        <v>99995449.090909094</v>
      </c>
      <c r="AH12">
        <v>55355141.636363633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Charts</vt:lpstr>
      <vt:lpstr>Data Age</vt:lpstr>
      <vt:lpstr>Energy</vt:lpstr>
      <vt:lpstr>Makespan</vt:lpstr>
      <vt:lpstr>Success Rate</vt:lpstr>
      <vt:lpstr>Load Edge</vt:lpstr>
      <vt:lpstr>Load Cloud</vt:lpstr>
      <vt:lpstr>Loads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Mehrab</dc:creator>
  <cp:lastModifiedBy>Mehrab Toghani</cp:lastModifiedBy>
  <cp:revision>1</cp:revision>
  <dcterms:created xsi:type="dcterms:W3CDTF">2015-06-05T18:17:20Z</dcterms:created>
  <dcterms:modified xsi:type="dcterms:W3CDTF">2025-04-22T20:21:03Z</dcterms:modified>
  <dc:language>en-US</dc:language>
</cp:coreProperties>
</file>