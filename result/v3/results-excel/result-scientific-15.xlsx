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3" documentId="11_279427C9465F1D89393FA7409F8ABD3D4F10562D" xr6:coauthVersionLast="47" xr6:coauthVersionMax="47" xr10:uidLastSave="{7B542AFC-971D-4F40-B551-DA34A989D85A}"/>
  <bookViews>
    <workbookView xWindow="2115" yWindow="2115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5" i="9" l="1"/>
  <c r="V90" i="9" s="1"/>
  <c r="U75" i="9"/>
  <c r="U90" i="9" s="1"/>
  <c r="T75" i="9"/>
  <c r="S75" i="9"/>
  <c r="V74" i="9"/>
  <c r="U74" i="9"/>
  <c r="T74" i="9"/>
  <c r="S74" i="9"/>
  <c r="V73" i="9"/>
  <c r="U73" i="9"/>
  <c r="T73" i="9"/>
  <c r="S73" i="9"/>
  <c r="V72" i="9"/>
  <c r="U72" i="9"/>
  <c r="T72" i="9"/>
  <c r="S72" i="9"/>
  <c r="V71" i="9"/>
  <c r="V86" i="9" s="1"/>
  <c r="U71" i="9"/>
  <c r="U86" i="9" s="1"/>
  <c r="T71" i="9"/>
  <c r="S71" i="9"/>
  <c r="V70" i="9"/>
  <c r="U70" i="9"/>
  <c r="T70" i="9"/>
  <c r="S70" i="9"/>
  <c r="V69" i="9"/>
  <c r="U69" i="9"/>
  <c r="T69" i="9"/>
  <c r="S69" i="9"/>
  <c r="V68" i="9"/>
  <c r="V89" i="9" s="1"/>
  <c r="U68" i="9"/>
  <c r="U89" i="9" s="1"/>
  <c r="T68" i="9"/>
  <c r="T88" i="9" s="1"/>
  <c r="S68" i="9"/>
  <c r="S90" i="9" s="1"/>
  <c r="V44" i="9"/>
  <c r="V59" i="9" s="1"/>
  <c r="U44" i="9"/>
  <c r="U59" i="9" s="1"/>
  <c r="T44" i="9"/>
  <c r="S44" i="9"/>
  <c r="V43" i="9"/>
  <c r="U43" i="9"/>
  <c r="T43" i="9"/>
  <c r="S43" i="9"/>
  <c r="V42" i="9"/>
  <c r="U42" i="9"/>
  <c r="T42" i="9"/>
  <c r="S42" i="9"/>
  <c r="V41" i="9"/>
  <c r="U41" i="9"/>
  <c r="T41" i="9"/>
  <c r="S41" i="9"/>
  <c r="V40" i="9"/>
  <c r="V55" i="9" s="1"/>
  <c r="U40" i="9"/>
  <c r="U55" i="9" s="1"/>
  <c r="T40" i="9"/>
  <c r="S40" i="9"/>
  <c r="V39" i="9"/>
  <c r="U39" i="9"/>
  <c r="T39" i="9"/>
  <c r="S39" i="9"/>
  <c r="V38" i="9"/>
  <c r="U38" i="9"/>
  <c r="T38" i="9"/>
  <c r="S38" i="9"/>
  <c r="V37" i="9"/>
  <c r="V58" i="9" s="1"/>
  <c r="U37" i="9"/>
  <c r="U58" i="9" s="1"/>
  <c r="T37" i="9"/>
  <c r="T57" i="9" s="1"/>
  <c r="S37" i="9"/>
  <c r="S59" i="9" s="1"/>
  <c r="V10" i="9"/>
  <c r="V25" i="9" s="1"/>
  <c r="U10" i="9"/>
  <c r="U25" i="9" s="1"/>
  <c r="T10" i="9"/>
  <c r="S10" i="9"/>
  <c r="V9" i="9"/>
  <c r="U9" i="9"/>
  <c r="T9" i="9"/>
  <c r="S9" i="9"/>
  <c r="V8" i="9"/>
  <c r="U8" i="9"/>
  <c r="T8" i="9"/>
  <c r="S8" i="9"/>
  <c r="V7" i="9"/>
  <c r="U7" i="9"/>
  <c r="T7" i="9"/>
  <c r="S7" i="9"/>
  <c r="V6" i="9"/>
  <c r="V21" i="9" s="1"/>
  <c r="U6" i="9"/>
  <c r="U21" i="9" s="1"/>
  <c r="T6" i="9"/>
  <c r="S6" i="9"/>
  <c r="V5" i="9"/>
  <c r="U5" i="9"/>
  <c r="T5" i="9"/>
  <c r="S5" i="9"/>
  <c r="V4" i="9"/>
  <c r="U4" i="9"/>
  <c r="T4" i="9"/>
  <c r="S4" i="9"/>
  <c r="V3" i="9"/>
  <c r="V20" i="9" s="1"/>
  <c r="U3" i="9"/>
  <c r="U23" i="9" s="1"/>
  <c r="T3" i="9"/>
  <c r="T18" i="9" s="1"/>
  <c r="S3" i="9"/>
  <c r="S23" i="9" s="1"/>
  <c r="T83" i="9"/>
  <c r="V87" i="9"/>
  <c r="U87" i="9"/>
  <c r="T87" i="9"/>
  <c r="S87" i="9"/>
  <c r="V83" i="9"/>
  <c r="U83" i="9"/>
  <c r="S83" i="9"/>
  <c r="S53" i="9"/>
  <c r="V56" i="9"/>
  <c r="U56" i="9"/>
  <c r="T56" i="9"/>
  <c r="S56" i="9"/>
  <c r="V52" i="9"/>
  <c r="U52" i="9"/>
  <c r="T52" i="9"/>
  <c r="S52" i="9"/>
  <c r="S20" i="9"/>
  <c r="U22" i="9"/>
  <c r="T22" i="9"/>
  <c r="S22" i="9"/>
  <c r="V22" i="9"/>
  <c r="U18" i="9"/>
  <c r="S57" i="9" l="1"/>
  <c r="S84" i="9"/>
  <c r="S88" i="9"/>
  <c r="S19" i="9"/>
  <c r="T53" i="9"/>
  <c r="T84" i="9"/>
  <c r="V23" i="9"/>
  <c r="U53" i="9"/>
  <c r="U57" i="9"/>
  <c r="U84" i="9"/>
  <c r="U88" i="9"/>
  <c r="U19" i="9"/>
  <c r="S24" i="9"/>
  <c r="V53" i="9"/>
  <c r="V57" i="9"/>
  <c r="V84" i="9"/>
  <c r="V88" i="9"/>
  <c r="V19" i="9"/>
  <c r="T24" i="9"/>
  <c r="S54" i="9"/>
  <c r="S58" i="9"/>
  <c r="S85" i="9"/>
  <c r="S89" i="9"/>
  <c r="T20" i="9"/>
  <c r="U24" i="9"/>
  <c r="T54" i="9"/>
  <c r="T58" i="9"/>
  <c r="T85" i="9"/>
  <c r="T89" i="9"/>
  <c r="U20" i="9"/>
  <c r="V24" i="9"/>
  <c r="U54" i="9"/>
  <c r="U85" i="9"/>
  <c r="S25" i="9"/>
  <c r="V54" i="9"/>
  <c r="V85" i="9"/>
  <c r="S21" i="9"/>
  <c r="T25" i="9"/>
  <c r="S55" i="9"/>
  <c r="S86" i="9"/>
  <c r="T21" i="9"/>
  <c r="T55" i="9"/>
  <c r="T59" i="9"/>
  <c r="T86" i="9"/>
  <c r="T90" i="9"/>
  <c r="S18" i="9"/>
  <c r="T23" i="9"/>
  <c r="T19" i="9"/>
  <c r="V18" i="9"/>
</calcChain>
</file>

<file path=xl/sharedStrings.xml><?xml version="1.0" encoding="utf-8"?>
<sst xmlns="http://schemas.openxmlformats.org/spreadsheetml/2006/main" count="614" uniqueCount="27">
  <si>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</si>
  <si>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</si>
  <si>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</si>
  <si>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</si>
  <si>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</si>
  <si>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</si>
  <si>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</si>
  <si>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</si>
  <si>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</si>
  <si>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</si>
  <si>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</si>
  <si>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</si>
  <si>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</si>
  <si>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</si>
  <si>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</si>
  <si>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</si>
  <si>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</si>
  <si>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</si>
  <si>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</si>
  <si>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</si>
  <si>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</si>
  <si>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Montage</t>
  </si>
  <si>
    <t>Inspiral</t>
  </si>
  <si>
    <t>Cybershake</t>
  </si>
  <si>
    <t>Epigenomics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</si>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</sst>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Charts!$S$18:$V$18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B-4177-A146-835D8109EFA7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Charts!$S$19:$V$19</c:f>
              <c:numCache>
                <c:formatCode>General</c:formatCode>
                <c:ptCount val="4"/>
                <c:pt idx="0">
                  <c:v>0.76175653015259648</c:v>
                </c:pt>
                <c:pt idx="1">
                  <c:v>0.75081227622040803</c:v>
                </c:pt>
                <c:pt idx="2">
                  <c:v>0.85178222958634742</c:v>
                </c:pt>
                <c:pt idx="3">
                  <c:v>0.72308814301662283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B-4177-A146-835D8109EFA7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Charts!$S$20:$V$20</c:f>
              <c:numCache>
                <c:formatCode>General</c:formatCode>
                <c:ptCount val="4"/>
                <c:pt idx="0">
                  <c:v>0.83860375971406098</c:v>
                </c:pt>
                <c:pt idx="1">
                  <c:v>0.81868751262953354</c:v>
                </c:pt>
                <c:pt idx="2">
                  <c:v>1.0409701856524209</c:v>
                </c:pt>
                <c:pt idx="3">
                  <c:v>0.86339546349071028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B-4177-A146-835D8109EFA7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Charts!$S$21:$V$21</c:f>
              <c:numCache>
                <c:formatCode>General</c:formatCode>
                <c:ptCount val="4"/>
                <c:pt idx="0">
                  <c:v>0.91672423474027231</c:v>
                </c:pt>
                <c:pt idx="1">
                  <c:v>1.4727577289619296</c:v>
                </c:pt>
                <c:pt idx="2">
                  <c:v>1.1592373865925842</c:v>
                </c:pt>
                <c:pt idx="3">
                  <c:v>0.97857061581330873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9B-4177-A146-835D8109EFA7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Charts!$S$22:$V$22</c:f>
              <c:numCache>
                <c:formatCode>General</c:formatCode>
                <c:ptCount val="4"/>
                <c:pt idx="0">
                  <c:v>0.92944198140233703</c:v>
                </c:pt>
                <c:pt idx="1">
                  <c:v>1.1823745684800027</c:v>
                </c:pt>
                <c:pt idx="2">
                  <c:v>1.0418183941468369</c:v>
                </c:pt>
                <c:pt idx="3">
                  <c:v>0.9009986648650693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B-4177-A146-835D8109EFA7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Charts!$S$23:$V$23</c:f>
              <c:numCache>
                <c:formatCode>General</c:formatCode>
                <c:ptCount val="4"/>
                <c:pt idx="0">
                  <c:v>0.97627215344458373</c:v>
                </c:pt>
                <c:pt idx="1">
                  <c:v>1.3000701425510213</c:v>
                </c:pt>
                <c:pt idx="2">
                  <c:v>1.1465197561472751</c:v>
                </c:pt>
                <c:pt idx="3">
                  <c:v>0.82501926203300302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B-4177-A146-835D8109EFA7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Charts!$S$24:$V$24</c:f>
              <c:numCache>
                <c:formatCode>General</c:formatCode>
                <c:ptCount val="4"/>
                <c:pt idx="0">
                  <c:v>0.90143524953067578</c:v>
                </c:pt>
                <c:pt idx="1">
                  <c:v>1.8750294963601601</c:v>
                </c:pt>
                <c:pt idx="2">
                  <c:v>1.0274038146440605</c:v>
                </c:pt>
                <c:pt idx="3">
                  <c:v>0.93198895160872108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9B-4177-A146-835D8109EFA7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Charts!$S$25:$V$25</c:f>
              <c:numCache>
                <c:formatCode>General</c:formatCode>
                <c:ptCount val="4"/>
                <c:pt idx="0">
                  <c:v>0.93891531457557609</c:v>
                </c:pt>
                <c:pt idx="1">
                  <c:v>1.0006814002534872</c:v>
                </c:pt>
                <c:pt idx="2">
                  <c:v>1.0457292668656704</c:v>
                </c:pt>
                <c:pt idx="3">
                  <c:v>0.92510159412831217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9B-4177-A146-835D8109E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Charts!$S$52:$V$52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4-43FA-8D49-6A1218630697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Charts!$S$53:$V$53</c:f>
              <c:numCache>
                <c:formatCode>General</c:formatCode>
                <c:ptCount val="4"/>
                <c:pt idx="0">
                  <c:v>1.3611320589157605</c:v>
                </c:pt>
                <c:pt idx="1">
                  <c:v>1.4675091445808162</c:v>
                </c:pt>
                <c:pt idx="2">
                  <c:v>1.6532942808221367</c:v>
                </c:pt>
                <c:pt idx="3">
                  <c:v>1.9655367954270015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4-43FA-8D49-6A1218630697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Charts!$S$54:$V$54</c:f>
              <c:numCache>
                <c:formatCode>General</c:formatCode>
                <c:ptCount val="4"/>
                <c:pt idx="0">
                  <c:v>1.2720587075713723</c:v>
                </c:pt>
                <c:pt idx="1">
                  <c:v>1.6821304811564284</c:v>
                </c:pt>
                <c:pt idx="2">
                  <c:v>1.7489573397272964</c:v>
                </c:pt>
                <c:pt idx="3">
                  <c:v>1.8026905407401037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B4-43FA-8D49-6A1218630697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Charts!$S$55:$V$55</c:f>
              <c:numCache>
                <c:formatCode>General</c:formatCode>
                <c:ptCount val="4"/>
                <c:pt idx="0">
                  <c:v>1.5277297835085866</c:v>
                </c:pt>
                <c:pt idx="1">
                  <c:v>1.6498426302735463</c:v>
                </c:pt>
                <c:pt idx="2">
                  <c:v>2.2725418623763729</c:v>
                </c:pt>
                <c:pt idx="3">
                  <c:v>2.5926259453981206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B4-43FA-8D49-6A1218630697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Charts!$S$56:$V$56</c:f>
              <c:numCache>
                <c:formatCode>General</c:formatCode>
                <c:ptCount val="4"/>
                <c:pt idx="0">
                  <c:v>1.4281776813252172</c:v>
                </c:pt>
                <c:pt idx="1">
                  <c:v>1.4712394016392156</c:v>
                </c:pt>
                <c:pt idx="2">
                  <c:v>1.8419506012290043</c:v>
                </c:pt>
                <c:pt idx="3">
                  <c:v>2.2679372498141137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B4-43FA-8D49-6A1218630697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Charts!$S$57:$V$57</c:f>
              <c:numCache>
                <c:formatCode>General</c:formatCode>
                <c:ptCount val="4"/>
                <c:pt idx="0">
                  <c:v>1.5197938784437153</c:v>
                </c:pt>
                <c:pt idx="1">
                  <c:v>1.5922104943348321</c:v>
                </c:pt>
                <c:pt idx="2">
                  <c:v>1.9428837409087278</c:v>
                </c:pt>
                <c:pt idx="3">
                  <c:v>2.1689587698110451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B4-43FA-8D49-6A1218630697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Charts!$S$58:$V$58</c:f>
              <c:numCache>
                <c:formatCode>General</c:formatCode>
                <c:ptCount val="4"/>
                <c:pt idx="0">
                  <c:v>1.4557186414052825</c:v>
                </c:pt>
                <c:pt idx="1">
                  <c:v>1.58558755659248</c:v>
                </c:pt>
                <c:pt idx="2">
                  <c:v>1.936193058556646</c:v>
                </c:pt>
                <c:pt idx="3">
                  <c:v>2.3914286546361039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B4-43FA-8D49-6A1218630697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Charts!$S$59:$V$59</c:f>
              <c:numCache>
                <c:formatCode>General</c:formatCode>
                <c:ptCount val="4"/>
                <c:pt idx="0">
                  <c:v>1.4891864991680892</c:v>
                </c:pt>
                <c:pt idx="1">
                  <c:v>1.5179338314474575</c:v>
                </c:pt>
                <c:pt idx="2">
                  <c:v>1.9696150373085064</c:v>
                </c:pt>
                <c:pt idx="3">
                  <c:v>2.4258934246303068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B4-43FA-8D49-6A1218630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Charts!$S$83:$V$83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0-4C8B-A98F-C2DBB7D9CA69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Charts!$S$84:$V$84</c:f>
              <c:numCache>
                <c:formatCode>General</c:formatCode>
                <c:ptCount val="4"/>
                <c:pt idx="0">
                  <c:v>0.98845722190322072</c:v>
                </c:pt>
                <c:pt idx="1">
                  <c:v>1.0532808565138896</c:v>
                </c:pt>
                <c:pt idx="2">
                  <c:v>1.0118574453153539</c:v>
                </c:pt>
                <c:pt idx="3">
                  <c:v>1.11335484392952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0-4C8B-A98F-C2DBB7D9CA69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Charts!$S$85:$V$85</c:f>
              <c:numCache>
                <c:formatCode>General</c:formatCode>
                <c:ptCount val="4"/>
                <c:pt idx="0">
                  <c:v>0.88511307152012897</c:v>
                </c:pt>
                <c:pt idx="1">
                  <c:v>1.2223179249679306</c:v>
                </c:pt>
                <c:pt idx="2">
                  <c:v>1.0510153580844435</c:v>
                </c:pt>
                <c:pt idx="3">
                  <c:v>0.91375346349921494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D0-4C8B-A98F-C2DBB7D9CA69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Charts!$S$86:$V$86</c:f>
              <c:numCache>
                <c:formatCode>General</c:formatCode>
                <c:ptCount val="4"/>
                <c:pt idx="0">
                  <c:v>1.1188352966423645</c:v>
                </c:pt>
                <c:pt idx="1">
                  <c:v>1.2037460087097316</c:v>
                </c:pt>
                <c:pt idx="2">
                  <c:v>1.488827575661497</c:v>
                </c:pt>
                <c:pt idx="3">
                  <c:v>1.5089621357584877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D0-4C8B-A98F-C2DBB7D9CA69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Charts!$S$87:$V$87</c:f>
              <c:numCache>
                <c:formatCode>General</c:formatCode>
                <c:ptCount val="4"/>
                <c:pt idx="0">
                  <c:v>1.030153613706623</c:v>
                </c:pt>
                <c:pt idx="1">
                  <c:v>1.0398711932613653</c:v>
                </c:pt>
                <c:pt idx="2">
                  <c:v>1.1373592778640103</c:v>
                </c:pt>
                <c:pt idx="3">
                  <c:v>1.2788928136176567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D0-4C8B-A98F-C2DBB7D9CA69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Charts!$S$88:$V$88</c:f>
              <c:numCache>
                <c:formatCode>General</c:formatCode>
                <c:ptCount val="4"/>
                <c:pt idx="0">
                  <c:v>1.1078101709267862</c:v>
                </c:pt>
                <c:pt idx="1">
                  <c:v>1.1482929120447098</c:v>
                </c:pt>
                <c:pt idx="2">
                  <c:v>1.2214611389092118</c:v>
                </c:pt>
                <c:pt idx="3">
                  <c:v>1.2338121121334864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D0-4C8B-A98F-C2DBB7D9CA69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Charts!$S$89:$V$89</c:f>
              <c:numCache>
                <c:formatCode>General</c:formatCode>
                <c:ptCount val="4"/>
                <c:pt idx="0">
                  <c:v>1.0510706849251508</c:v>
                </c:pt>
                <c:pt idx="1">
                  <c:v>1.1355134128458992</c:v>
                </c:pt>
                <c:pt idx="2">
                  <c:v>1.2190297335082376</c:v>
                </c:pt>
                <c:pt idx="3">
                  <c:v>1.3744310276221927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D0-4C8B-A98F-C2DBB7D9CA69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Charts!$S$90:$V$90</c:f>
              <c:numCache>
                <c:formatCode>General</c:formatCode>
                <c:ptCount val="4"/>
                <c:pt idx="0">
                  <c:v>1.0803209444763446</c:v>
                </c:pt>
                <c:pt idx="1">
                  <c:v>1.0864587761818758</c:v>
                </c:pt>
                <c:pt idx="2">
                  <c:v>1.2483564913761154</c:v>
                </c:pt>
                <c:pt idx="3">
                  <c:v>1.4046734312091744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D0-4C8B-A98F-C2DBB7D9C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8FFFC-0763-4F01-A2C6-1B606C6CB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EA923A-C003-41EB-BD47-348F9330F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1FC334-D21D-4ADA-9E57-F90B0803C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4EA3-F319-43C5-955A-6BEB11FF397D}">
  <dimension ref="R2:V90"/>
  <sheetViews>
    <sheetView tabSelected="1" topLeftCell="A31" zoomScale="70" zoomScaleNormal="70" workbookViewId="0">
      <selection activeCell="X42" sqref="X42"/>
    </sheetView>
  </sheetViews>
  <sheetFormatPr defaultRowHeight="15" x14ac:dyDescent="0.25"/>
  <cols>
    <col min="19" max="19" width="12.28515625" bestFit="1" customWidth="1"/>
  </cols>
  <sheetData>
    <row r="2" spans="18:22" x14ac:dyDescent="0.25">
      <c r="R2" t="s">
        <v>20</v>
      </c>
      <c r="S2" t="s">
        <v>21</v>
      </c>
      <c r="T2" t="s">
        <v>23</v>
      </c>
      <c r="U2" t="s">
        <v>22</v>
      </c>
      <c r="V2" t="s">
        <v>24</v>
      </c>
    </row>
    <row r="3" spans="18:22" x14ac:dyDescent="0.25">
      <c r="R3" s="5" t="s">
        <v>6</v>
      </c>
      <c r="S3">
        <f>'Data Age'!B49</f>
        <v>65375.266233766233</v>
      </c>
      <c r="T3">
        <f>'Data Age'!C49</f>
        <v>89472.425574425579</v>
      </c>
      <c r="U3">
        <f>'Data Age'!D49</f>
        <v>932218.06893106899</v>
      </c>
      <c r="V3">
        <f>'Data Age'!E49</f>
        <v>13520966.091683369</v>
      </c>
    </row>
    <row r="4" spans="18:22" x14ac:dyDescent="0.25">
      <c r="R4" s="5" t="s">
        <v>7</v>
      </c>
      <c r="S4">
        <f>'Data Age'!B50</f>
        <v>49800.035964035967</v>
      </c>
      <c r="T4">
        <f>'Data Age'!C50</f>
        <v>67176.995504495513</v>
      </c>
      <c r="U4">
        <f>'Data Age'!D50</f>
        <v>794046.78521478525</v>
      </c>
      <c r="V4">
        <f>'Data Age'!E50</f>
        <v>9776850.2630260512</v>
      </c>
    </row>
    <row r="5" spans="18:22" x14ac:dyDescent="0.25">
      <c r="R5" s="6" t="s">
        <v>8</v>
      </c>
      <c r="S5">
        <f>'Data Age'!B51</f>
        <v>54823.944055944063</v>
      </c>
      <c r="T5">
        <f>'Data Age'!C51</f>
        <v>73249.957542457545</v>
      </c>
      <c r="U5">
        <f>'Data Age'!D51</f>
        <v>970411.21628371626</v>
      </c>
      <c r="V5">
        <f>'Data Age'!E51</f>
        <v>11673940.785571139</v>
      </c>
    </row>
    <row r="6" spans="18:22" x14ac:dyDescent="0.25">
      <c r="R6" s="5" t="s">
        <v>9</v>
      </c>
      <c r="S6">
        <f>'Data Age'!B52</f>
        <v>59931.090909090912</v>
      </c>
      <c r="T6">
        <f>'Data Age'!C52</f>
        <v>131771.20629370629</v>
      </c>
      <c r="U6">
        <f>'Data Age'!D52</f>
        <v>1080662.0379620381</v>
      </c>
      <c r="V6">
        <f>'Data Age'!E52</f>
        <v>13231220.11472946</v>
      </c>
    </row>
    <row r="7" spans="18:22" x14ac:dyDescent="0.25">
      <c r="R7" s="5" t="s">
        <v>10</v>
      </c>
      <c r="S7">
        <f>'Data Age'!B53</f>
        <v>60762.516983016983</v>
      </c>
      <c r="T7">
        <f>'Data Age'!C53</f>
        <v>105789.92057942061</v>
      </c>
      <c r="U7">
        <f>'Data Age'!D53</f>
        <v>971201.93156843167</v>
      </c>
      <c r="V7">
        <f>'Data Age'!E53</f>
        <v>12182372.39629259</v>
      </c>
    </row>
    <row r="8" spans="18:22" x14ac:dyDescent="0.25">
      <c r="R8" s="5" t="s">
        <v>11</v>
      </c>
      <c r="S8">
        <f>'Data Age'!B54</f>
        <v>63824.051948051943</v>
      </c>
      <c r="T8">
        <f>'Data Age'!C54</f>
        <v>116320.42907092909</v>
      </c>
      <c r="U8">
        <f>'Data Age'!D54</f>
        <v>1068806.433066933</v>
      </c>
      <c r="V8">
        <f>'Data Age'!E54</f>
        <v>11155057.466933871</v>
      </c>
    </row>
    <row r="9" spans="18:22" x14ac:dyDescent="0.25">
      <c r="R9" s="6" t="s">
        <v>12</v>
      </c>
      <c r="S9">
        <f>'Data Age'!B55</f>
        <v>58931.569430569427</v>
      </c>
      <c r="T9">
        <f>'Data Age'!C55</f>
        <v>167763.4370629371</v>
      </c>
      <c r="U9">
        <f>'Data Age'!D55</f>
        <v>957764.40009990009</v>
      </c>
      <c r="V9">
        <f>'Data Age'!E55</f>
        <v>12601391.01252505</v>
      </c>
    </row>
    <row r="10" spans="18:22" x14ac:dyDescent="0.25">
      <c r="R10" s="5" t="s">
        <v>13</v>
      </c>
      <c r="S10">
        <f>'Data Age'!B56</f>
        <v>61381.838661338661</v>
      </c>
      <c r="T10">
        <f>'Data Age'!C56</f>
        <v>89533.392107892112</v>
      </c>
      <c r="U10">
        <f>'Data Age'!D56</f>
        <v>974847.71778221778</v>
      </c>
      <c r="V10">
        <f>'Data Age'!E56</f>
        <v>12508267.285571139</v>
      </c>
    </row>
    <row r="17" spans="18:22" x14ac:dyDescent="0.25">
      <c r="R17" t="s">
        <v>20</v>
      </c>
      <c r="S17" t="s">
        <v>21</v>
      </c>
      <c r="T17" t="s">
        <v>23</v>
      </c>
      <c r="U17" t="s">
        <v>22</v>
      </c>
      <c r="V17" t="s">
        <v>24</v>
      </c>
    </row>
    <row r="18" spans="18:22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  <c r="V18">
        <f>V3/V3</f>
        <v>1</v>
      </c>
    </row>
    <row r="19" spans="18:22" x14ac:dyDescent="0.25">
      <c r="R19" s="5" t="s">
        <v>7</v>
      </c>
      <c r="S19">
        <f>S4/S3</f>
        <v>0.76175653015259648</v>
      </c>
      <c r="T19">
        <f>T4/T3</f>
        <v>0.75081227622040803</v>
      </c>
      <c r="U19">
        <f>U4/U3</f>
        <v>0.85178222958634742</v>
      </c>
      <c r="V19">
        <f>V4/V3</f>
        <v>0.72308814301662283</v>
      </c>
    </row>
    <row r="20" spans="18:22" x14ac:dyDescent="0.25">
      <c r="R20" s="6" t="s">
        <v>8</v>
      </c>
      <c r="S20">
        <f>S5/S3</f>
        <v>0.83860375971406098</v>
      </c>
      <c r="T20">
        <f>T5/T3</f>
        <v>0.81868751262953354</v>
      </c>
      <c r="U20">
        <f>U5/U3</f>
        <v>1.0409701856524209</v>
      </c>
      <c r="V20">
        <f>V5/V3</f>
        <v>0.86339546349071028</v>
      </c>
    </row>
    <row r="21" spans="18:22" x14ac:dyDescent="0.25">
      <c r="R21" s="5" t="s">
        <v>9</v>
      </c>
      <c r="S21">
        <f>S6/S3</f>
        <v>0.91672423474027231</v>
      </c>
      <c r="T21">
        <f>T6/T3</f>
        <v>1.4727577289619296</v>
      </c>
      <c r="U21">
        <f>U6/U3</f>
        <v>1.1592373865925842</v>
      </c>
      <c r="V21">
        <f>V6/V3</f>
        <v>0.97857061581330873</v>
      </c>
    </row>
    <row r="22" spans="18:22" x14ac:dyDescent="0.25">
      <c r="R22" s="5" t="s">
        <v>10</v>
      </c>
      <c r="S22">
        <f>S7/S3</f>
        <v>0.92944198140233703</v>
      </c>
      <c r="T22">
        <f>T7/T3</f>
        <v>1.1823745684800027</v>
      </c>
      <c r="U22">
        <f>U7/U3</f>
        <v>1.0418183941468369</v>
      </c>
      <c r="V22">
        <f>V7/V3</f>
        <v>0.9009986648650693</v>
      </c>
    </row>
    <row r="23" spans="18:22" x14ac:dyDescent="0.25">
      <c r="R23" s="5" t="s">
        <v>11</v>
      </c>
      <c r="S23">
        <f>S8/S3</f>
        <v>0.97627215344458373</v>
      </c>
      <c r="T23">
        <f>T8/T3</f>
        <v>1.3000701425510213</v>
      </c>
      <c r="U23">
        <f>U8/U3</f>
        <v>1.1465197561472751</v>
      </c>
      <c r="V23">
        <f>V8/V3</f>
        <v>0.82501926203300302</v>
      </c>
    </row>
    <row r="24" spans="18:22" x14ac:dyDescent="0.25">
      <c r="R24" s="6" t="s">
        <v>12</v>
      </c>
      <c r="S24">
        <f>S9/S3</f>
        <v>0.90143524953067578</v>
      </c>
      <c r="T24">
        <f>T9/T3</f>
        <v>1.8750294963601601</v>
      </c>
      <c r="U24">
        <f>U9/U3</f>
        <v>1.0274038146440605</v>
      </c>
      <c r="V24">
        <f>V9/V3</f>
        <v>0.93198895160872108</v>
      </c>
    </row>
    <row r="25" spans="18:22" x14ac:dyDescent="0.25">
      <c r="R25" s="5" t="s">
        <v>13</v>
      </c>
      <c r="S25">
        <f>S10/S3</f>
        <v>0.93891531457557609</v>
      </c>
      <c r="T25">
        <f>T10/T3</f>
        <v>1.0006814002534872</v>
      </c>
      <c r="U25">
        <f>U10/U3</f>
        <v>1.0457292668656704</v>
      </c>
      <c r="V25">
        <f>V10/V3</f>
        <v>0.92510159412831217</v>
      </c>
    </row>
    <row r="36" spans="18:22" x14ac:dyDescent="0.25">
      <c r="R36" t="s">
        <v>25</v>
      </c>
      <c r="S36" t="s">
        <v>21</v>
      </c>
      <c r="T36" t="s">
        <v>23</v>
      </c>
      <c r="U36" t="s">
        <v>22</v>
      </c>
      <c r="V36" t="s">
        <v>24</v>
      </c>
    </row>
    <row r="37" spans="18:22" x14ac:dyDescent="0.25">
      <c r="R37" s="5" t="s">
        <v>6</v>
      </c>
      <c r="S37">
        <f>Energy!B49</f>
        <v>396331711.0805437</v>
      </c>
      <c r="T37">
        <f>Energy!C49</f>
        <v>842176432.92416668</v>
      </c>
      <c r="U37">
        <f>Energy!D49</f>
        <v>5316624393.1655092</v>
      </c>
      <c r="V37">
        <f>Energy!E49</f>
        <v>76315705441.888245</v>
      </c>
    </row>
    <row r="38" spans="18:22" x14ac:dyDescent="0.25">
      <c r="R38" s="5" t="s">
        <v>7</v>
      </c>
      <c r="S38">
        <f>Energy!B50</f>
        <v>539459797.91666675</v>
      </c>
      <c r="T38">
        <f>Energy!C50</f>
        <v>1235901616.666667</v>
      </c>
      <c r="U38">
        <f>Energy!D50</f>
        <v>8789944702.5</v>
      </c>
      <c r="V38">
        <f>Energy!E50</f>
        <v>150001327115</v>
      </c>
    </row>
    <row r="39" spans="18:22" x14ac:dyDescent="0.25">
      <c r="R39" s="6" t="s">
        <v>8</v>
      </c>
      <c r="S39">
        <f>Energy!B51</f>
        <v>504157204.16666698</v>
      </c>
      <c r="T39">
        <f>Energy!C51</f>
        <v>1416650648.333333</v>
      </c>
      <c r="U39">
        <f>Energy!D51</f>
        <v>9298549255</v>
      </c>
      <c r="V39">
        <f>Energy!E51</f>
        <v>137573600310</v>
      </c>
    </row>
    <row r="40" spans="18:22" x14ac:dyDescent="0.25">
      <c r="R40" s="5" t="s">
        <v>9</v>
      </c>
      <c r="S40">
        <f>Energy!B52</f>
        <v>605487759.16666675</v>
      </c>
      <c r="T40">
        <f>Energy!C52</f>
        <v>1389458581.25</v>
      </c>
      <c r="U40">
        <f>Energy!D52</f>
        <v>12082251500</v>
      </c>
      <c r="V40">
        <f>Energy!E52</f>
        <v>197858077970</v>
      </c>
    </row>
    <row r="41" spans="18:22" x14ac:dyDescent="0.25">
      <c r="R41" s="5" t="s">
        <v>10</v>
      </c>
      <c r="S41">
        <f>Energy!B53</f>
        <v>566032104.16666675</v>
      </c>
      <c r="T41">
        <f>Energy!C53</f>
        <v>1239043151.25</v>
      </c>
      <c r="U41">
        <f>Energy!D53</f>
        <v>9792959497.5</v>
      </c>
      <c r="V41">
        <f>Energy!E53</f>
        <v>173079231117.5</v>
      </c>
    </row>
    <row r="42" spans="18:22" x14ac:dyDescent="0.25">
      <c r="R42" s="5" t="s">
        <v>11</v>
      </c>
      <c r="S42">
        <f>Energy!B54</f>
        <v>602342508.33333349</v>
      </c>
      <c r="T42">
        <f>Energy!C54</f>
        <v>1340922154.583333</v>
      </c>
      <c r="U42">
        <f>Energy!D54</f>
        <v>10329583090</v>
      </c>
      <c r="V42">
        <f>Energy!E54</f>
        <v>165525618592.5</v>
      </c>
    </row>
    <row r="43" spans="18:22" x14ac:dyDescent="0.25">
      <c r="R43" s="6" t="s">
        <v>12</v>
      </c>
      <c r="S43">
        <f>Energy!B55</f>
        <v>576947460</v>
      </c>
      <c r="T43">
        <f>Energy!C55</f>
        <v>1335344472.5</v>
      </c>
      <c r="U43">
        <f>Energy!D55</f>
        <v>10294011245</v>
      </c>
      <c r="V43">
        <f>Energy!E55</f>
        <v>182503564792.5</v>
      </c>
    </row>
    <row r="44" spans="18:22" x14ac:dyDescent="0.25">
      <c r="R44" s="5" t="s">
        <v>13</v>
      </c>
      <c r="S44">
        <f>Energy!B56</f>
        <v>590211833.33333349</v>
      </c>
      <c r="T44">
        <f>Energy!C56</f>
        <v>1278368099.583333</v>
      </c>
      <c r="U44">
        <f>Energy!D56</f>
        <v>10471703352.5</v>
      </c>
      <c r="V44">
        <f>Energy!E56</f>
        <v>185133768027.5</v>
      </c>
    </row>
    <row r="51" spans="18:22" x14ac:dyDescent="0.25">
      <c r="R51" t="s">
        <v>25</v>
      </c>
      <c r="S51" t="s">
        <v>21</v>
      </c>
      <c r="T51" t="s">
        <v>23</v>
      </c>
      <c r="U51" t="s">
        <v>22</v>
      </c>
      <c r="V51" t="s">
        <v>24</v>
      </c>
    </row>
    <row r="52" spans="18:22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  <c r="V52">
        <f>V37/V37</f>
        <v>1</v>
      </c>
    </row>
    <row r="53" spans="18:22" x14ac:dyDescent="0.25">
      <c r="R53" s="5" t="s">
        <v>7</v>
      </c>
      <c r="S53">
        <f>S38/S37</f>
        <v>1.3611320589157605</v>
      </c>
      <c r="T53">
        <f>T38/T37</f>
        <v>1.4675091445808162</v>
      </c>
      <c r="U53">
        <f>U38/U37</f>
        <v>1.6532942808221367</v>
      </c>
      <c r="V53">
        <f>V38/V37</f>
        <v>1.9655367954270015</v>
      </c>
    </row>
    <row r="54" spans="18:22" x14ac:dyDescent="0.25">
      <c r="R54" s="6" t="s">
        <v>8</v>
      </c>
      <c r="S54">
        <f>S39/S37</f>
        <v>1.2720587075713723</v>
      </c>
      <c r="T54">
        <f>T39/T37</f>
        <v>1.6821304811564284</v>
      </c>
      <c r="U54">
        <f>U39/U37</f>
        <v>1.7489573397272964</v>
      </c>
      <c r="V54">
        <f>V39/V37</f>
        <v>1.8026905407401037</v>
      </c>
    </row>
    <row r="55" spans="18:22" x14ac:dyDescent="0.25">
      <c r="R55" s="5" t="s">
        <v>9</v>
      </c>
      <c r="S55">
        <f>S40/S37</f>
        <v>1.5277297835085866</v>
      </c>
      <c r="T55">
        <f>T40/T37</f>
        <v>1.6498426302735463</v>
      </c>
      <c r="U55">
        <f>U40/U37</f>
        <v>2.2725418623763729</v>
      </c>
      <c r="V55">
        <f>V40/V37</f>
        <v>2.5926259453981206</v>
      </c>
    </row>
    <row r="56" spans="18:22" x14ac:dyDescent="0.25">
      <c r="R56" s="5" t="s">
        <v>10</v>
      </c>
      <c r="S56">
        <f>S41/S37</f>
        <v>1.4281776813252172</v>
      </c>
      <c r="T56">
        <f>T41/T37</f>
        <v>1.4712394016392156</v>
      </c>
      <c r="U56">
        <f>U41/U37</f>
        <v>1.8419506012290043</v>
      </c>
      <c r="V56">
        <f>V41/V37</f>
        <v>2.2679372498141137</v>
      </c>
    </row>
    <row r="57" spans="18:22" x14ac:dyDescent="0.25">
      <c r="R57" s="5" t="s">
        <v>11</v>
      </c>
      <c r="S57">
        <f>S42/S37</f>
        <v>1.5197938784437153</v>
      </c>
      <c r="T57">
        <f>T42/T37</f>
        <v>1.5922104943348321</v>
      </c>
      <c r="U57">
        <f>U42/U37</f>
        <v>1.9428837409087278</v>
      </c>
      <c r="V57">
        <f>V42/V37</f>
        <v>2.1689587698110451</v>
      </c>
    </row>
    <row r="58" spans="18:22" x14ac:dyDescent="0.25">
      <c r="R58" s="6" t="s">
        <v>12</v>
      </c>
      <c r="S58">
        <f>S43/S37</f>
        <v>1.4557186414052825</v>
      </c>
      <c r="T58">
        <f>T43/T37</f>
        <v>1.58558755659248</v>
      </c>
      <c r="U58">
        <f>U43/U37</f>
        <v>1.936193058556646</v>
      </c>
      <c r="V58">
        <f>V43/V37</f>
        <v>2.3914286546361039</v>
      </c>
    </row>
    <row r="59" spans="18:22" x14ac:dyDescent="0.25">
      <c r="R59" s="5" t="s">
        <v>13</v>
      </c>
      <c r="S59">
        <f>S44/S37</f>
        <v>1.4891864991680892</v>
      </c>
      <c r="T59">
        <f>T44/T37</f>
        <v>1.5179338314474575</v>
      </c>
      <c r="U59">
        <f>U44/U37</f>
        <v>1.9696150373085064</v>
      </c>
      <c r="V59">
        <f>V44/V37</f>
        <v>2.4258934246303068</v>
      </c>
    </row>
    <row r="67" spans="18:22" x14ac:dyDescent="0.25">
      <c r="R67" t="s">
        <v>26</v>
      </c>
      <c r="S67" t="s">
        <v>21</v>
      </c>
      <c r="T67" t="s">
        <v>23</v>
      </c>
      <c r="U67" t="s">
        <v>22</v>
      </c>
      <c r="V67" t="s">
        <v>24</v>
      </c>
    </row>
    <row r="68" spans="18:22" x14ac:dyDescent="0.25">
      <c r="R68" s="5" t="s">
        <v>6</v>
      </c>
      <c r="S68">
        <f>Makespan!B49</f>
        <v>689652</v>
      </c>
      <c r="T68">
        <f>Makespan!C49</f>
        <v>1492468.5</v>
      </c>
      <c r="U68">
        <f>Makespan!D49</f>
        <v>9783642</v>
      </c>
      <c r="V68">
        <f>Makespan!E49</f>
        <v>155924858.5</v>
      </c>
    </row>
    <row r="69" spans="18:22" x14ac:dyDescent="0.25">
      <c r="R69" s="5" t="s">
        <v>7</v>
      </c>
      <c r="S69">
        <f>Makespan!B50</f>
        <v>681691.5</v>
      </c>
      <c r="T69">
        <f>Makespan!C50</f>
        <v>1571988.5</v>
      </c>
      <c r="U69">
        <f>Makespan!D50</f>
        <v>9899651</v>
      </c>
      <c r="V69">
        <f>Makespan!E50</f>
        <v>173599696.5</v>
      </c>
    </row>
    <row r="70" spans="18:22" x14ac:dyDescent="0.25">
      <c r="R70" s="6" t="s">
        <v>8</v>
      </c>
      <c r="S70">
        <f>Makespan!B51</f>
        <v>610420</v>
      </c>
      <c r="T70">
        <f>Makespan!C51</f>
        <v>1824271</v>
      </c>
      <c r="U70">
        <f>Makespan!D51</f>
        <v>10282758</v>
      </c>
      <c r="V70">
        <f>Makespan!E51</f>
        <v>142476879.5</v>
      </c>
    </row>
    <row r="71" spans="18:22" x14ac:dyDescent="0.25">
      <c r="R71" s="5" t="s">
        <v>9</v>
      </c>
      <c r="S71">
        <f>Makespan!B52</f>
        <v>771607</v>
      </c>
      <c r="T71">
        <f>Makespan!C52</f>
        <v>1796553</v>
      </c>
      <c r="U71">
        <f>Makespan!D52</f>
        <v>14566156</v>
      </c>
      <c r="V71">
        <f>Makespan!E52</f>
        <v>235284707.5</v>
      </c>
    </row>
    <row r="72" spans="18:22" x14ac:dyDescent="0.25">
      <c r="R72" s="5" t="s">
        <v>10</v>
      </c>
      <c r="S72">
        <f>Makespan!B53</f>
        <v>710447.5</v>
      </c>
      <c r="T72">
        <f>Makespan!C53</f>
        <v>1551975</v>
      </c>
      <c r="U72">
        <f>Makespan!D53</f>
        <v>11127516</v>
      </c>
      <c r="V72">
        <f>Makespan!E53</f>
        <v>199411181</v>
      </c>
    </row>
    <row r="73" spans="18:22" x14ac:dyDescent="0.25">
      <c r="R73" s="5" t="s">
        <v>11</v>
      </c>
      <c r="S73">
        <f>Makespan!B54</f>
        <v>764003.5</v>
      </c>
      <c r="T73">
        <f>Makespan!C54</f>
        <v>1713791</v>
      </c>
      <c r="U73">
        <f>Makespan!D54</f>
        <v>11950338.5</v>
      </c>
      <c r="V73">
        <f>Makespan!E54</f>
        <v>192381979</v>
      </c>
    </row>
    <row r="74" spans="18:22" x14ac:dyDescent="0.25">
      <c r="R74" s="6" t="s">
        <v>12</v>
      </c>
      <c r="S74">
        <f>Makespan!B55</f>
        <v>724873</v>
      </c>
      <c r="T74">
        <f>Makespan!C55</f>
        <v>1694718</v>
      </c>
      <c r="U74">
        <f>Makespan!D55</f>
        <v>11926550.5</v>
      </c>
      <c r="V74">
        <f>Makespan!E55</f>
        <v>214307963.5</v>
      </c>
    </row>
    <row r="75" spans="18:22" x14ac:dyDescent="0.25">
      <c r="R75" s="5" t="s">
        <v>13</v>
      </c>
      <c r="S75">
        <f>Makespan!B56</f>
        <v>745045.5</v>
      </c>
      <c r="T75">
        <f>Makespan!C56</f>
        <v>1621505.5</v>
      </c>
      <c r="U75">
        <f>Makespan!D56</f>
        <v>12213473</v>
      </c>
      <c r="V75">
        <f>Makespan!E56</f>
        <v>219023506</v>
      </c>
    </row>
    <row r="82" spans="18:22" x14ac:dyDescent="0.25">
      <c r="R82" t="s">
        <v>26</v>
      </c>
      <c r="S82" t="s">
        <v>21</v>
      </c>
      <c r="T82" t="s">
        <v>23</v>
      </c>
      <c r="U82" t="s">
        <v>22</v>
      </c>
      <c r="V82" t="s">
        <v>24</v>
      </c>
    </row>
    <row r="83" spans="18:22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  <c r="V83">
        <f>V68/V68</f>
        <v>1</v>
      </c>
    </row>
    <row r="84" spans="18:22" x14ac:dyDescent="0.25">
      <c r="R84" s="5" t="s">
        <v>7</v>
      </c>
      <c r="S84">
        <f>S69/S68</f>
        <v>0.98845722190322072</v>
      </c>
      <c r="T84">
        <f>T69/T68</f>
        <v>1.0532808565138896</v>
      </c>
      <c r="U84">
        <f>U69/U68</f>
        <v>1.0118574453153539</v>
      </c>
      <c r="V84">
        <f>V69/V68</f>
        <v>1.11335484392952</v>
      </c>
    </row>
    <row r="85" spans="18:22" x14ac:dyDescent="0.25">
      <c r="R85" s="6" t="s">
        <v>8</v>
      </c>
      <c r="S85">
        <f>S70/S68</f>
        <v>0.88511307152012897</v>
      </c>
      <c r="T85">
        <f>T70/T68</f>
        <v>1.2223179249679306</v>
      </c>
      <c r="U85">
        <f>U70/U68</f>
        <v>1.0510153580844435</v>
      </c>
      <c r="V85">
        <f>V70/V68</f>
        <v>0.91375346349921494</v>
      </c>
    </row>
    <row r="86" spans="18:22" x14ac:dyDescent="0.25">
      <c r="R86" s="5" t="s">
        <v>9</v>
      </c>
      <c r="S86">
        <f>S71/S68</f>
        <v>1.1188352966423645</v>
      </c>
      <c r="T86">
        <f>T71/T68</f>
        <v>1.2037460087097316</v>
      </c>
      <c r="U86">
        <f>U71/U68</f>
        <v>1.488827575661497</v>
      </c>
      <c r="V86">
        <f>V71/V68</f>
        <v>1.5089621357584877</v>
      </c>
    </row>
    <row r="87" spans="18:22" x14ac:dyDescent="0.25">
      <c r="R87" s="5" t="s">
        <v>10</v>
      </c>
      <c r="S87">
        <f>S72/S68</f>
        <v>1.030153613706623</v>
      </c>
      <c r="T87">
        <f>T72/T68</f>
        <v>1.0398711932613653</v>
      </c>
      <c r="U87">
        <f>U72/U68</f>
        <v>1.1373592778640103</v>
      </c>
      <c r="V87">
        <f>V72/V68</f>
        <v>1.2788928136176567</v>
      </c>
    </row>
    <row r="88" spans="18:22" x14ac:dyDescent="0.25">
      <c r="R88" s="5" t="s">
        <v>11</v>
      </c>
      <c r="S88">
        <f>S73/S68</f>
        <v>1.1078101709267862</v>
      </c>
      <c r="T88">
        <f>T73/T68</f>
        <v>1.1482929120447098</v>
      </c>
      <c r="U88">
        <f>U73/U68</f>
        <v>1.2214611389092118</v>
      </c>
      <c r="V88">
        <f>V73/V68</f>
        <v>1.2338121121334864</v>
      </c>
    </row>
    <row r="89" spans="18:22" x14ac:dyDescent="0.25">
      <c r="R89" s="6" t="s">
        <v>12</v>
      </c>
      <c r="S89">
        <f>S74/S68</f>
        <v>1.0510706849251508</v>
      </c>
      <c r="T89">
        <f>T74/T68</f>
        <v>1.1355134128458992</v>
      </c>
      <c r="U89">
        <f>U74/U68</f>
        <v>1.2190297335082376</v>
      </c>
      <c r="V89">
        <f>V74/V68</f>
        <v>1.3744310276221927</v>
      </c>
    </row>
    <row r="90" spans="18:22" x14ac:dyDescent="0.25">
      <c r="R90" s="5" t="s">
        <v>13</v>
      </c>
      <c r="S90">
        <f>S75/S68</f>
        <v>1.0803209444763446</v>
      </c>
      <c r="T90">
        <f>T75/T68</f>
        <v>1.0864587761818758</v>
      </c>
      <c r="U90">
        <f>U75/U68</f>
        <v>1.2483564913761154</v>
      </c>
      <c r="V90">
        <f>V75/V68</f>
        <v>1.4046734312091744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zoomScaleNormal="100" workbookViewId="0">
      <selection activeCell="G18" sqref="G18"/>
    </sheetView>
  </sheetViews>
  <sheetFormatPr defaultColWidth="8.5703125" defaultRowHeight="15" x14ac:dyDescent="0.25"/>
  <cols>
    <col min="1" max="1" width="24" customWidth="1"/>
    <col min="2" max="5" width="20" customWidth="1"/>
    <col min="6" max="6" width="21" customWidth="1"/>
    <col min="7" max="43" width="20" customWidth="1"/>
    <col min="44" max="44" width="19" customWidth="1"/>
    <col min="45" max="52" width="20" customWidth="1"/>
    <col min="53" max="55" width="19" customWidth="1"/>
    <col min="56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65375.266233766233</v>
      </c>
      <c r="D2">
        <v>64654.591408591412</v>
      </c>
      <c r="E2">
        <v>66095.941058941055</v>
      </c>
      <c r="F2">
        <v>720.67482517482131</v>
      </c>
    </row>
    <row r="3" spans="1:6" x14ac:dyDescent="0.25">
      <c r="A3" t="s">
        <v>6</v>
      </c>
      <c r="B3">
        <v>2</v>
      </c>
      <c r="C3">
        <v>89472.425574425579</v>
      </c>
      <c r="D3">
        <v>87876.788211788211</v>
      </c>
      <c r="E3">
        <v>91068.062937062932</v>
      </c>
      <c r="F3">
        <v>1595.6373626373611</v>
      </c>
    </row>
    <row r="4" spans="1:6" x14ac:dyDescent="0.25">
      <c r="A4" t="s">
        <v>6</v>
      </c>
      <c r="B4">
        <v>3</v>
      </c>
      <c r="C4">
        <v>932218.06893106899</v>
      </c>
      <c r="D4">
        <v>931884.3376623377</v>
      </c>
      <c r="E4">
        <v>932551.80019980017</v>
      </c>
      <c r="F4">
        <v>333.73126873123692</v>
      </c>
    </row>
    <row r="5" spans="1:6" x14ac:dyDescent="0.25">
      <c r="A5" t="s">
        <v>6</v>
      </c>
      <c r="B5">
        <v>4</v>
      </c>
      <c r="C5">
        <v>13520966.091683369</v>
      </c>
      <c r="D5">
        <v>13492389.15731463</v>
      </c>
      <c r="E5">
        <v>13549543.026052101</v>
      </c>
      <c r="F5">
        <v>28576.93436873797</v>
      </c>
    </row>
    <row r="6" spans="1:6" x14ac:dyDescent="0.25">
      <c r="A6" t="s">
        <v>7</v>
      </c>
      <c r="B6">
        <v>1</v>
      </c>
      <c r="C6">
        <v>49800.035964035967</v>
      </c>
      <c r="D6">
        <v>49717.190809190812</v>
      </c>
      <c r="E6">
        <v>49882.881118881123</v>
      </c>
      <c r="F6">
        <v>82.845154845152138</v>
      </c>
    </row>
    <row r="7" spans="1:6" x14ac:dyDescent="0.25">
      <c r="A7" t="s">
        <v>7</v>
      </c>
      <c r="B7">
        <v>2</v>
      </c>
      <c r="C7">
        <v>67176.995504495513</v>
      </c>
      <c r="D7">
        <v>67083.432567432566</v>
      </c>
      <c r="E7">
        <v>67270.558441558445</v>
      </c>
      <c r="F7">
        <v>93.562937062939469</v>
      </c>
    </row>
    <row r="8" spans="1:6" x14ac:dyDescent="0.25">
      <c r="A8" t="s">
        <v>7</v>
      </c>
      <c r="B8">
        <v>3</v>
      </c>
      <c r="C8">
        <v>794046.78521478525</v>
      </c>
      <c r="D8">
        <v>784041.93906093901</v>
      </c>
      <c r="E8">
        <v>804051.63136863138</v>
      </c>
      <c r="F8">
        <v>10004.846153846191</v>
      </c>
    </row>
    <row r="9" spans="1:6" x14ac:dyDescent="0.25">
      <c r="A9" t="s">
        <v>7</v>
      </c>
      <c r="B9">
        <v>4</v>
      </c>
      <c r="C9">
        <v>9776850.2630260512</v>
      </c>
      <c r="D9">
        <v>9579675.8346693385</v>
      </c>
      <c r="E9">
        <v>9974024.6913827658</v>
      </c>
      <c r="F9">
        <v>197174.42835671359</v>
      </c>
    </row>
    <row r="10" spans="1:6" x14ac:dyDescent="0.25">
      <c r="A10" t="s">
        <v>8</v>
      </c>
      <c r="B10">
        <v>1</v>
      </c>
      <c r="C10">
        <v>54823.944055944063</v>
      </c>
      <c r="D10">
        <v>54823.724275724278</v>
      </c>
      <c r="E10">
        <v>54824.16383616384</v>
      </c>
      <c r="F10">
        <v>0.21978021978065951</v>
      </c>
    </row>
    <row r="11" spans="1:6" x14ac:dyDescent="0.25">
      <c r="A11" t="s">
        <v>8</v>
      </c>
      <c r="B11">
        <v>2</v>
      </c>
      <c r="C11">
        <v>73249.957542457545</v>
      </c>
      <c r="D11">
        <v>73249.035964035967</v>
      </c>
      <c r="E11">
        <v>73250.879120879123</v>
      </c>
      <c r="F11">
        <v>0.92157842157757841</v>
      </c>
    </row>
    <row r="12" spans="1:6" ht="15" customHeight="1" x14ac:dyDescent="0.25">
      <c r="A12" s="1" t="s">
        <v>8</v>
      </c>
      <c r="B12">
        <v>3</v>
      </c>
      <c r="C12">
        <v>970411.21628371626</v>
      </c>
      <c r="D12">
        <v>970410.95104895101</v>
      </c>
      <c r="E12">
        <v>970411.48151848151</v>
      </c>
      <c r="F12">
        <v>0.26523476524744177</v>
      </c>
    </row>
    <row r="13" spans="1:6" x14ac:dyDescent="0.25">
      <c r="A13" t="s">
        <v>8</v>
      </c>
      <c r="B13">
        <v>4</v>
      </c>
      <c r="C13">
        <v>11673940.785571139</v>
      </c>
      <c r="D13">
        <v>11673939.536072141</v>
      </c>
      <c r="E13">
        <v>11673942.03507014</v>
      </c>
      <c r="F13">
        <v>1.2494989978149531</v>
      </c>
    </row>
    <row r="14" spans="1:6" x14ac:dyDescent="0.25">
      <c r="A14" t="s">
        <v>9</v>
      </c>
      <c r="B14">
        <v>1</v>
      </c>
      <c r="C14">
        <v>59931.090909090912</v>
      </c>
      <c r="D14">
        <v>59791.356643356638</v>
      </c>
      <c r="E14">
        <v>60070.825174825171</v>
      </c>
      <c r="F14">
        <v>139.73426573426329</v>
      </c>
    </row>
    <row r="15" spans="1:6" x14ac:dyDescent="0.25">
      <c r="A15" t="s">
        <v>9</v>
      </c>
      <c r="B15">
        <v>2</v>
      </c>
      <c r="C15">
        <v>131771.20629370629</v>
      </c>
      <c r="D15">
        <v>115690.8361638362</v>
      </c>
      <c r="E15">
        <v>147851.57642357639</v>
      </c>
      <c r="F15">
        <v>16080.370129870131</v>
      </c>
    </row>
    <row r="16" spans="1:6" x14ac:dyDescent="0.25">
      <c r="A16" t="s">
        <v>9</v>
      </c>
      <c r="B16">
        <v>3</v>
      </c>
      <c r="C16">
        <v>1080662.0379620381</v>
      </c>
      <c r="D16">
        <v>1030163.564435564</v>
      </c>
      <c r="E16">
        <v>1131160.511488511</v>
      </c>
      <c r="F16">
        <v>50498.473526473514</v>
      </c>
    </row>
    <row r="17" spans="1:6" x14ac:dyDescent="0.25">
      <c r="A17" t="s">
        <v>9</v>
      </c>
      <c r="B17">
        <v>4</v>
      </c>
      <c r="C17">
        <v>13231220.11472946</v>
      </c>
      <c r="D17">
        <v>11766096.420841681</v>
      </c>
      <c r="E17">
        <v>14696343.808617231</v>
      </c>
      <c r="F17">
        <v>1465123.693887776</v>
      </c>
    </row>
    <row r="18" spans="1:6" x14ac:dyDescent="0.25">
      <c r="A18" t="s">
        <v>10</v>
      </c>
      <c r="B18">
        <v>1</v>
      </c>
      <c r="C18">
        <v>60762.516983016983</v>
      </c>
      <c r="D18">
        <v>60552.624375624378</v>
      </c>
      <c r="E18">
        <v>60972.409590409588</v>
      </c>
      <c r="F18">
        <v>209.89260739260499</v>
      </c>
    </row>
    <row r="19" spans="1:6" x14ac:dyDescent="0.25">
      <c r="A19" t="s">
        <v>10</v>
      </c>
      <c r="B19">
        <v>2</v>
      </c>
      <c r="C19">
        <v>105789.92057942061</v>
      </c>
      <c r="D19">
        <v>104743.7462537463</v>
      </c>
      <c r="E19">
        <v>106836.0949050949</v>
      </c>
      <c r="F19">
        <v>1046.1743256743209</v>
      </c>
    </row>
    <row r="20" spans="1:6" ht="15" customHeight="1" x14ac:dyDescent="0.25">
      <c r="A20" s="1" t="s">
        <v>10</v>
      </c>
      <c r="B20">
        <v>3</v>
      </c>
      <c r="C20">
        <v>971201.93156843167</v>
      </c>
      <c r="D20">
        <v>958064.12387612392</v>
      </c>
      <c r="E20">
        <v>984339.7392607393</v>
      </c>
      <c r="F20">
        <v>13137.80769230769</v>
      </c>
    </row>
    <row r="21" spans="1:6" x14ac:dyDescent="0.25">
      <c r="A21" t="s">
        <v>10</v>
      </c>
      <c r="B21">
        <v>4</v>
      </c>
      <c r="C21">
        <v>12182372.39629259</v>
      </c>
      <c r="D21">
        <v>11999851.930861721</v>
      </c>
      <c r="E21">
        <v>12364892.861723449</v>
      </c>
      <c r="F21">
        <v>182520.4654308623</v>
      </c>
    </row>
    <row r="22" spans="1:6" x14ac:dyDescent="0.25">
      <c r="A22" t="s">
        <v>11</v>
      </c>
      <c r="B22">
        <v>1</v>
      </c>
      <c r="C22">
        <v>63824.051948051943</v>
      </c>
      <c r="D22">
        <v>56062.994005994013</v>
      </c>
      <c r="E22">
        <v>71585.109890109889</v>
      </c>
      <c r="F22">
        <v>7761.0579420579415</v>
      </c>
    </row>
    <row r="23" spans="1:6" ht="15" customHeight="1" x14ac:dyDescent="0.25">
      <c r="A23" s="1" t="s">
        <v>11</v>
      </c>
      <c r="B23">
        <v>2</v>
      </c>
      <c r="C23">
        <v>116320.42907092909</v>
      </c>
      <c r="D23">
        <v>116082.3406593407</v>
      </c>
      <c r="E23">
        <v>116558.51748251751</v>
      </c>
      <c r="F23">
        <v>238.08841158841099</v>
      </c>
    </row>
    <row r="24" spans="1:6" x14ac:dyDescent="0.25">
      <c r="A24" t="s">
        <v>11</v>
      </c>
      <c r="B24">
        <v>3</v>
      </c>
      <c r="C24">
        <v>1068806.433066933</v>
      </c>
      <c r="D24">
        <v>942462.93506493501</v>
      </c>
      <c r="E24">
        <v>1195149.931068931</v>
      </c>
      <c r="F24">
        <v>126343.498001998</v>
      </c>
    </row>
    <row r="25" spans="1:6" x14ac:dyDescent="0.25">
      <c r="A25" t="s">
        <v>11</v>
      </c>
      <c r="B25">
        <v>4</v>
      </c>
      <c r="C25">
        <v>11155057.466933871</v>
      </c>
      <c r="D25">
        <v>10493130.30961924</v>
      </c>
      <c r="E25">
        <v>11816984.624248501</v>
      </c>
      <c r="F25">
        <v>661927.15731462929</v>
      </c>
    </row>
    <row r="26" spans="1:6" x14ac:dyDescent="0.25">
      <c r="A26" t="s">
        <v>12</v>
      </c>
      <c r="B26">
        <v>1</v>
      </c>
      <c r="C26">
        <v>58931.569430569427</v>
      </c>
      <c r="D26">
        <v>57632.26373626374</v>
      </c>
      <c r="E26">
        <v>60230.875124875121</v>
      </c>
      <c r="F26">
        <v>1299.3056943056911</v>
      </c>
    </row>
    <row r="27" spans="1:6" x14ac:dyDescent="0.25">
      <c r="A27" t="s">
        <v>12</v>
      </c>
      <c r="B27">
        <v>2</v>
      </c>
      <c r="C27">
        <v>167763.4370629371</v>
      </c>
      <c r="D27">
        <v>148598.32667332669</v>
      </c>
      <c r="E27">
        <v>186928.54745254741</v>
      </c>
      <c r="F27">
        <v>19165.110389610389</v>
      </c>
    </row>
    <row r="28" spans="1:6" ht="15" customHeight="1" x14ac:dyDescent="0.25">
      <c r="A28" s="1" t="s">
        <v>12</v>
      </c>
      <c r="B28">
        <v>3</v>
      </c>
      <c r="C28">
        <v>957764.40009990009</v>
      </c>
      <c r="D28">
        <v>910772.7352647353</v>
      </c>
      <c r="E28">
        <v>1004756.064935065</v>
      </c>
      <c r="F28">
        <v>46991.664835164847</v>
      </c>
    </row>
    <row r="29" spans="1:6" x14ac:dyDescent="0.25">
      <c r="A29" t="s">
        <v>12</v>
      </c>
      <c r="B29">
        <v>4</v>
      </c>
      <c r="C29">
        <v>12601391.01252505</v>
      </c>
      <c r="D29">
        <v>12185561.0501002</v>
      </c>
      <c r="E29">
        <v>13017220.9749499</v>
      </c>
      <c r="F29">
        <v>415829.96242485009</v>
      </c>
    </row>
    <row r="30" spans="1:6" x14ac:dyDescent="0.25">
      <c r="A30" t="s">
        <v>13</v>
      </c>
      <c r="B30">
        <v>1</v>
      </c>
      <c r="C30">
        <v>61381.838661338661</v>
      </c>
      <c r="D30">
        <v>59076.673326673328</v>
      </c>
      <c r="E30">
        <v>63687.003996003987</v>
      </c>
      <c r="F30">
        <v>2305.1653346653329</v>
      </c>
    </row>
    <row r="31" spans="1:6" ht="15" customHeight="1" x14ac:dyDescent="0.25">
      <c r="A31" s="1" t="s">
        <v>13</v>
      </c>
      <c r="B31">
        <v>2</v>
      </c>
      <c r="C31">
        <v>89533.392107892112</v>
      </c>
      <c r="D31">
        <v>79472.378621378622</v>
      </c>
      <c r="E31">
        <v>99594.405594405587</v>
      </c>
      <c r="F31">
        <v>10061.013486513481</v>
      </c>
    </row>
    <row r="32" spans="1:6" x14ac:dyDescent="0.25">
      <c r="A32" t="s">
        <v>13</v>
      </c>
      <c r="B32">
        <v>3</v>
      </c>
      <c r="C32">
        <v>974847.71778221778</v>
      </c>
      <c r="D32">
        <v>973335.32367632363</v>
      </c>
      <c r="E32">
        <v>976360.11188811192</v>
      </c>
      <c r="F32">
        <v>1512.3941058941421</v>
      </c>
    </row>
    <row r="33" spans="1:6" x14ac:dyDescent="0.25">
      <c r="A33" t="s">
        <v>13</v>
      </c>
      <c r="B33">
        <v>4</v>
      </c>
      <c r="C33">
        <v>12508267.285571139</v>
      </c>
      <c r="D33">
        <v>12182168.46993988</v>
      </c>
      <c r="E33">
        <v>12834366.1012024</v>
      </c>
      <c r="F33">
        <v>326098.81563126203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3652007.9631056571</v>
      </c>
      <c r="D37">
        <v>64654.591408591412</v>
      </c>
      <c r="E37">
        <v>13549543.026052101</v>
      </c>
      <c r="F37">
        <v>5708546.3339738036</v>
      </c>
    </row>
    <row r="38" spans="1:6" x14ac:dyDescent="0.25">
      <c r="A38" t="s">
        <v>7</v>
      </c>
      <c r="C38">
        <v>2671968.519927342</v>
      </c>
      <c r="D38">
        <v>49717.190809190812</v>
      </c>
      <c r="E38">
        <v>9974024.6913827658</v>
      </c>
      <c r="F38">
        <v>4114171.208666468</v>
      </c>
    </row>
    <row r="39" spans="1:6" ht="15" customHeight="1" x14ac:dyDescent="0.25">
      <c r="A39" s="1" t="s">
        <v>8</v>
      </c>
      <c r="C39">
        <v>3193106.4758633152</v>
      </c>
      <c r="D39">
        <v>54823.724275724278</v>
      </c>
      <c r="E39">
        <v>11673942.03507014</v>
      </c>
      <c r="F39">
        <v>4910377.9577043252</v>
      </c>
    </row>
    <row r="40" spans="1:6" x14ac:dyDescent="0.25">
      <c r="A40" t="s">
        <v>9</v>
      </c>
      <c r="C40">
        <v>3625896.112473574</v>
      </c>
      <c r="D40">
        <v>59791.356643356638</v>
      </c>
      <c r="E40">
        <v>14696343.808617231</v>
      </c>
      <c r="F40">
        <v>5608361.5523926523</v>
      </c>
    </row>
    <row r="41" spans="1:6" x14ac:dyDescent="0.25">
      <c r="A41" t="s">
        <v>10</v>
      </c>
      <c r="C41">
        <v>3330031.6913558641</v>
      </c>
      <c r="D41">
        <v>60552.624375624378</v>
      </c>
      <c r="E41">
        <v>12364892.861723449</v>
      </c>
      <c r="F41">
        <v>5124581.865471812</v>
      </c>
    </row>
    <row r="42" spans="1:6" x14ac:dyDescent="0.25">
      <c r="A42" t="s">
        <v>11</v>
      </c>
      <c r="C42">
        <v>3101002.095254946</v>
      </c>
      <c r="D42">
        <v>56062.994005994013</v>
      </c>
      <c r="E42">
        <v>11816984.624248501</v>
      </c>
      <c r="F42">
        <v>4679331.4903539075</v>
      </c>
    </row>
    <row r="43" spans="1:6" ht="15" customHeight="1" x14ac:dyDescent="0.25">
      <c r="A43" s="1" t="s">
        <v>12</v>
      </c>
      <c r="C43">
        <v>3446462.6047796141</v>
      </c>
      <c r="D43">
        <v>57632.26373626374</v>
      </c>
      <c r="E43">
        <v>13017220.9749499</v>
      </c>
      <c r="F43">
        <v>5301109.7757126568</v>
      </c>
    </row>
    <row r="44" spans="1:6" x14ac:dyDescent="0.25">
      <c r="A44" t="s">
        <v>13</v>
      </c>
      <c r="C44">
        <v>3408507.5585306478</v>
      </c>
      <c r="D44">
        <v>59076.673326673328</v>
      </c>
      <c r="E44">
        <v>12834366.1012024</v>
      </c>
      <c r="F44">
        <v>5269098.9902212806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65375.266233766233</v>
      </c>
      <c r="C49">
        <v>89472.425574425579</v>
      </c>
      <c r="D49">
        <v>932218.06893106899</v>
      </c>
      <c r="E49">
        <v>13520966.091683369</v>
      </c>
    </row>
    <row r="50" spans="1:9" x14ac:dyDescent="0.25">
      <c r="A50" t="s">
        <v>7</v>
      </c>
      <c r="B50">
        <v>49800.035964035967</v>
      </c>
      <c r="C50">
        <v>67176.995504495513</v>
      </c>
      <c r="D50">
        <v>794046.78521478525</v>
      </c>
      <c r="E50">
        <v>9776850.2630260512</v>
      </c>
    </row>
    <row r="51" spans="1:9" ht="15" customHeight="1" x14ac:dyDescent="0.25">
      <c r="A51" s="1" t="s">
        <v>8</v>
      </c>
      <c r="B51">
        <v>54823.944055944063</v>
      </c>
      <c r="C51">
        <v>73249.957542457545</v>
      </c>
      <c r="D51">
        <v>970411.21628371626</v>
      </c>
      <c r="E51">
        <v>11673940.785571139</v>
      </c>
    </row>
    <row r="52" spans="1:9" x14ac:dyDescent="0.25">
      <c r="A52" t="s">
        <v>9</v>
      </c>
      <c r="B52">
        <v>59931.090909090912</v>
      </c>
      <c r="C52">
        <v>131771.20629370629</v>
      </c>
      <c r="D52">
        <v>1080662.0379620381</v>
      </c>
      <c r="E52">
        <v>13231220.11472946</v>
      </c>
    </row>
    <row r="53" spans="1:9" x14ac:dyDescent="0.25">
      <c r="A53" t="s">
        <v>10</v>
      </c>
      <c r="B53">
        <v>60762.516983016983</v>
      </c>
      <c r="C53">
        <v>105789.92057942061</v>
      </c>
      <c r="D53">
        <v>971201.93156843167</v>
      </c>
      <c r="E53">
        <v>12182372.39629259</v>
      </c>
    </row>
    <row r="54" spans="1:9" x14ac:dyDescent="0.25">
      <c r="A54" t="s">
        <v>11</v>
      </c>
      <c r="B54">
        <v>63824.051948051943</v>
      </c>
      <c r="C54">
        <v>116320.42907092909</v>
      </c>
      <c r="D54">
        <v>1068806.433066933</v>
      </c>
      <c r="E54">
        <v>11155057.466933871</v>
      </c>
    </row>
    <row r="55" spans="1:9" x14ac:dyDescent="0.25">
      <c r="A55" t="s">
        <v>12</v>
      </c>
      <c r="B55">
        <v>58931.569430569427</v>
      </c>
      <c r="C55">
        <v>167763.4370629371</v>
      </c>
      <c r="D55">
        <v>957764.40009990009</v>
      </c>
      <c r="E55">
        <v>12601391.01252505</v>
      </c>
    </row>
    <row r="56" spans="1:9" x14ac:dyDescent="0.25">
      <c r="A56" t="s">
        <v>13</v>
      </c>
      <c r="B56">
        <v>61381.838661338661</v>
      </c>
      <c r="C56">
        <v>89533.392107892112</v>
      </c>
      <c r="D56">
        <v>974847.71778221778</v>
      </c>
      <c r="E56">
        <v>12508267.285571139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66095.941058941055</v>
      </c>
      <c r="C61">
        <v>64654.591408591412</v>
      </c>
      <c r="D61">
        <v>87876.788211788211</v>
      </c>
      <c r="E61">
        <v>91068.062937062932</v>
      </c>
      <c r="F61">
        <v>932551.80019980017</v>
      </c>
      <c r="G61">
        <v>931884.3376623377</v>
      </c>
      <c r="H61">
        <v>13549543.026052101</v>
      </c>
      <c r="I61">
        <v>13492389.15731463</v>
      </c>
    </row>
    <row r="62" spans="1:9" x14ac:dyDescent="0.25">
      <c r="A62" t="s">
        <v>7</v>
      </c>
      <c r="B62">
        <v>49882.881118881123</v>
      </c>
      <c r="C62">
        <v>49717.190809190812</v>
      </c>
      <c r="D62">
        <v>67270.558441558445</v>
      </c>
      <c r="E62">
        <v>67083.432567432566</v>
      </c>
      <c r="F62">
        <v>804051.63136863138</v>
      </c>
      <c r="G62">
        <v>784041.93906093901</v>
      </c>
      <c r="H62">
        <v>9974024.6913827658</v>
      </c>
      <c r="I62">
        <v>9579675.8346693385</v>
      </c>
    </row>
    <row r="63" spans="1:9" x14ac:dyDescent="0.25">
      <c r="A63" t="s">
        <v>8</v>
      </c>
      <c r="B63">
        <v>54823.724275724278</v>
      </c>
      <c r="C63">
        <v>54824.16383616384</v>
      </c>
      <c r="D63">
        <v>73249.035964035967</v>
      </c>
      <c r="E63">
        <v>73250.879120879123</v>
      </c>
      <c r="F63">
        <v>970411.48151848151</v>
      </c>
      <c r="G63">
        <v>970410.95104895101</v>
      </c>
      <c r="H63">
        <v>11673939.536072141</v>
      </c>
      <c r="I63">
        <v>11673942.03507014</v>
      </c>
    </row>
    <row r="64" spans="1:9" x14ac:dyDescent="0.25">
      <c r="A64" t="s">
        <v>9</v>
      </c>
      <c r="B64">
        <v>60070.825174825171</v>
      </c>
      <c r="C64">
        <v>59791.356643356638</v>
      </c>
      <c r="D64">
        <v>115690.8361638362</v>
      </c>
      <c r="E64">
        <v>147851.57642357639</v>
      </c>
      <c r="F64">
        <v>1030163.564435564</v>
      </c>
      <c r="G64">
        <v>1131160.511488511</v>
      </c>
      <c r="H64">
        <v>11766096.420841681</v>
      </c>
      <c r="I64">
        <v>14696343.808617231</v>
      </c>
    </row>
    <row r="65" spans="1:9" x14ac:dyDescent="0.25">
      <c r="A65" t="s">
        <v>10</v>
      </c>
      <c r="B65">
        <v>60552.624375624378</v>
      </c>
      <c r="C65">
        <v>60972.409590409588</v>
      </c>
      <c r="D65">
        <v>106836.0949050949</v>
      </c>
      <c r="E65">
        <v>104743.7462537463</v>
      </c>
      <c r="F65">
        <v>958064.12387612392</v>
      </c>
      <c r="G65">
        <v>984339.7392607393</v>
      </c>
      <c r="H65">
        <v>11999851.930861721</v>
      </c>
      <c r="I65">
        <v>12364892.861723449</v>
      </c>
    </row>
    <row r="66" spans="1:9" x14ac:dyDescent="0.25">
      <c r="A66" t="s">
        <v>11</v>
      </c>
      <c r="B66">
        <v>56062.994005994013</v>
      </c>
      <c r="C66">
        <v>71585.109890109889</v>
      </c>
      <c r="D66">
        <v>116558.51748251751</v>
      </c>
      <c r="E66">
        <v>116082.3406593407</v>
      </c>
      <c r="F66">
        <v>942462.93506493501</v>
      </c>
      <c r="G66">
        <v>1195149.931068931</v>
      </c>
      <c r="H66">
        <v>10493130.30961924</v>
      </c>
      <c r="I66">
        <v>11816984.624248501</v>
      </c>
    </row>
    <row r="67" spans="1:9" x14ac:dyDescent="0.25">
      <c r="A67" t="s">
        <v>12</v>
      </c>
      <c r="B67">
        <v>60230.875124875121</v>
      </c>
      <c r="C67">
        <v>57632.26373626374</v>
      </c>
      <c r="D67">
        <v>186928.54745254741</v>
      </c>
      <c r="E67">
        <v>148598.32667332669</v>
      </c>
      <c r="F67">
        <v>1004756.064935065</v>
      </c>
      <c r="G67">
        <v>910772.7352647353</v>
      </c>
      <c r="H67">
        <v>12185561.0501002</v>
      </c>
      <c r="I67">
        <v>13017220.9749499</v>
      </c>
    </row>
    <row r="68" spans="1:9" x14ac:dyDescent="0.25">
      <c r="A68" t="s">
        <v>13</v>
      </c>
      <c r="B68">
        <v>63687.003996003987</v>
      </c>
      <c r="C68">
        <v>59076.673326673328</v>
      </c>
      <c r="D68">
        <v>79472.378621378622</v>
      </c>
      <c r="E68">
        <v>99594.405594405587</v>
      </c>
      <c r="F68">
        <v>976360.11188811192</v>
      </c>
      <c r="G68">
        <v>973335.32367632363</v>
      </c>
      <c r="H68">
        <v>12834366.1012024</v>
      </c>
      <c r="I68">
        <v>12182168.46993988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61" width="1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396331711.0805437</v>
      </c>
      <c r="D2">
        <v>389482188.02907389</v>
      </c>
      <c r="E2">
        <v>403181234.1320135</v>
      </c>
      <c r="F2">
        <v>6849523.0514698029</v>
      </c>
    </row>
    <row r="3" spans="1:6" x14ac:dyDescent="0.25">
      <c r="A3" t="s">
        <v>6</v>
      </c>
      <c r="B3">
        <v>2</v>
      </c>
      <c r="C3">
        <v>842176432.92416668</v>
      </c>
      <c r="D3">
        <v>834045666.48728025</v>
      </c>
      <c r="E3">
        <v>850307199.36105311</v>
      </c>
      <c r="F3">
        <v>8130766.4368864298</v>
      </c>
    </row>
    <row r="4" spans="1:6" x14ac:dyDescent="0.25">
      <c r="A4" t="s">
        <v>6</v>
      </c>
      <c r="B4">
        <v>3</v>
      </c>
      <c r="C4">
        <v>5316624393.1655092</v>
      </c>
      <c r="D4">
        <v>5250752995.2762966</v>
      </c>
      <c r="E4">
        <v>5382495791.0547218</v>
      </c>
      <c r="F4">
        <v>65871397.889212608</v>
      </c>
    </row>
    <row r="5" spans="1:6" x14ac:dyDescent="0.25">
      <c r="A5" t="s">
        <v>6</v>
      </c>
      <c r="B5">
        <v>4</v>
      </c>
      <c r="C5">
        <v>76315705441.888245</v>
      </c>
      <c r="D5">
        <v>74550230436.347351</v>
      </c>
      <c r="E5">
        <v>78081180447.429138</v>
      </c>
      <c r="F5">
        <v>1765475005.540894</v>
      </c>
    </row>
    <row r="6" spans="1:6" x14ac:dyDescent="0.25">
      <c r="A6" t="s">
        <v>7</v>
      </c>
      <c r="B6">
        <v>1</v>
      </c>
      <c r="C6">
        <v>539459797.91666675</v>
      </c>
      <c r="D6">
        <v>517486112.50000012</v>
      </c>
      <c r="E6">
        <v>561433483.33333337</v>
      </c>
      <c r="F6">
        <v>21973685.416666631</v>
      </c>
    </row>
    <row r="7" spans="1:6" x14ac:dyDescent="0.25">
      <c r="A7" t="s">
        <v>7</v>
      </c>
      <c r="B7">
        <v>2</v>
      </c>
      <c r="C7">
        <v>1235901616.666667</v>
      </c>
      <c r="D7">
        <v>1211884144.166666</v>
      </c>
      <c r="E7">
        <v>1259919089.166667</v>
      </c>
      <c r="F7">
        <v>24017472.500000119</v>
      </c>
    </row>
    <row r="8" spans="1:6" x14ac:dyDescent="0.25">
      <c r="A8" t="s">
        <v>7</v>
      </c>
      <c r="B8">
        <v>3</v>
      </c>
      <c r="C8">
        <v>8789944702.5</v>
      </c>
      <c r="D8">
        <v>8231996005</v>
      </c>
      <c r="E8">
        <v>9347893400</v>
      </c>
      <c r="F8">
        <v>557948697.5</v>
      </c>
    </row>
    <row r="9" spans="1:6" x14ac:dyDescent="0.25">
      <c r="A9" t="s">
        <v>7</v>
      </c>
      <c r="B9">
        <v>4</v>
      </c>
      <c r="C9">
        <v>150001327115</v>
      </c>
      <c r="D9">
        <v>142103790500</v>
      </c>
      <c r="E9">
        <v>157898863730</v>
      </c>
      <c r="F9">
        <v>7897536615</v>
      </c>
    </row>
    <row r="10" spans="1:6" x14ac:dyDescent="0.25">
      <c r="A10" t="s">
        <v>8</v>
      </c>
      <c r="B10">
        <v>1</v>
      </c>
      <c r="C10">
        <v>504157204.16666698</v>
      </c>
      <c r="D10">
        <v>504155924.16666698</v>
      </c>
      <c r="E10">
        <v>504158484.16666698</v>
      </c>
      <c r="F10">
        <v>1280</v>
      </c>
    </row>
    <row r="11" spans="1:6" x14ac:dyDescent="0.25">
      <c r="A11" t="s">
        <v>8</v>
      </c>
      <c r="B11">
        <v>2</v>
      </c>
      <c r="C11">
        <v>1416650648.333333</v>
      </c>
      <c r="D11">
        <v>1416642968.333333</v>
      </c>
      <c r="E11">
        <v>1416658328.333333</v>
      </c>
      <c r="F11">
        <v>7680</v>
      </c>
    </row>
    <row r="12" spans="1:6" ht="15" customHeight="1" x14ac:dyDescent="0.25">
      <c r="A12" s="1" t="s">
        <v>8</v>
      </c>
      <c r="B12">
        <v>3</v>
      </c>
      <c r="C12">
        <v>9298549255</v>
      </c>
      <c r="D12">
        <v>9298539655</v>
      </c>
      <c r="E12">
        <v>9298558855</v>
      </c>
      <c r="F12">
        <v>9600</v>
      </c>
    </row>
    <row r="13" spans="1:6" x14ac:dyDescent="0.25">
      <c r="A13" t="s">
        <v>8</v>
      </c>
      <c r="B13">
        <v>4</v>
      </c>
      <c r="C13">
        <v>137573600310</v>
      </c>
      <c r="D13">
        <v>137573599990</v>
      </c>
      <c r="E13">
        <v>137573600630</v>
      </c>
      <c r="F13">
        <v>320</v>
      </c>
    </row>
    <row r="14" spans="1:6" x14ac:dyDescent="0.25">
      <c r="A14" t="s">
        <v>9</v>
      </c>
      <c r="B14">
        <v>1</v>
      </c>
      <c r="C14">
        <v>605487759.16666675</v>
      </c>
      <c r="D14">
        <v>577012780</v>
      </c>
      <c r="E14">
        <v>633962738.33333337</v>
      </c>
      <c r="F14">
        <v>28474979.16666669</v>
      </c>
    </row>
    <row r="15" spans="1:6" x14ac:dyDescent="0.25">
      <c r="A15" t="s">
        <v>9</v>
      </c>
      <c r="B15">
        <v>2</v>
      </c>
      <c r="C15">
        <v>1389458581.25</v>
      </c>
      <c r="D15">
        <v>1333781446.666667</v>
      </c>
      <c r="E15">
        <v>1445135715.833333</v>
      </c>
      <c r="F15">
        <v>55677134.583333246</v>
      </c>
    </row>
    <row r="16" spans="1:6" x14ac:dyDescent="0.25">
      <c r="A16" t="s">
        <v>9</v>
      </c>
      <c r="B16">
        <v>3</v>
      </c>
      <c r="C16">
        <v>12082251500</v>
      </c>
      <c r="D16">
        <v>11344847505</v>
      </c>
      <c r="E16">
        <v>12819655495</v>
      </c>
      <c r="F16">
        <v>737403995</v>
      </c>
    </row>
    <row r="17" spans="1:6" x14ac:dyDescent="0.25">
      <c r="A17" t="s">
        <v>9</v>
      </c>
      <c r="B17">
        <v>4</v>
      </c>
      <c r="C17">
        <v>197858077970</v>
      </c>
      <c r="D17">
        <v>187737826130</v>
      </c>
      <c r="E17">
        <v>207978329810</v>
      </c>
      <c r="F17">
        <v>10120251840</v>
      </c>
    </row>
    <row r="18" spans="1:6" x14ac:dyDescent="0.25">
      <c r="A18" t="s">
        <v>10</v>
      </c>
      <c r="B18">
        <v>1</v>
      </c>
      <c r="C18">
        <v>566032104.16666675</v>
      </c>
      <c r="D18">
        <v>564815675</v>
      </c>
      <c r="E18">
        <v>567248533.33333349</v>
      </c>
      <c r="F18">
        <v>1216429.1666667459</v>
      </c>
    </row>
    <row r="19" spans="1:6" x14ac:dyDescent="0.25">
      <c r="A19" t="s">
        <v>10</v>
      </c>
      <c r="B19">
        <v>2</v>
      </c>
      <c r="C19">
        <v>1239043151.25</v>
      </c>
      <c r="D19">
        <v>1224507363.333333</v>
      </c>
      <c r="E19">
        <v>1253578939.166667</v>
      </c>
      <c r="F19">
        <v>14535787.916666631</v>
      </c>
    </row>
    <row r="20" spans="1:6" ht="15" customHeight="1" x14ac:dyDescent="0.25">
      <c r="A20" s="1" t="s">
        <v>10</v>
      </c>
      <c r="B20">
        <v>3</v>
      </c>
      <c r="C20">
        <v>9792959497.5</v>
      </c>
      <c r="D20">
        <v>9762918190</v>
      </c>
      <c r="E20">
        <v>9823000805</v>
      </c>
      <c r="F20">
        <v>30041307.5</v>
      </c>
    </row>
    <row r="21" spans="1:6" x14ac:dyDescent="0.25">
      <c r="A21" t="s">
        <v>10</v>
      </c>
      <c r="B21">
        <v>4</v>
      </c>
      <c r="C21">
        <v>173079231117.5</v>
      </c>
      <c r="D21">
        <v>172273428000</v>
      </c>
      <c r="E21">
        <v>173885034235</v>
      </c>
      <c r="F21">
        <v>805803117.5</v>
      </c>
    </row>
    <row r="22" spans="1:6" x14ac:dyDescent="0.25">
      <c r="A22" t="s">
        <v>11</v>
      </c>
      <c r="B22">
        <v>1</v>
      </c>
      <c r="C22">
        <v>602342508.33333349</v>
      </c>
      <c r="D22">
        <v>575330315.83333337</v>
      </c>
      <c r="E22">
        <v>629354700.83333349</v>
      </c>
      <c r="F22">
        <v>27012192.50000006</v>
      </c>
    </row>
    <row r="23" spans="1:6" ht="15" customHeight="1" x14ac:dyDescent="0.25">
      <c r="A23" s="1" t="s">
        <v>11</v>
      </c>
      <c r="B23">
        <v>2</v>
      </c>
      <c r="C23">
        <v>1340922154.583333</v>
      </c>
      <c r="D23">
        <v>1340081010.833333</v>
      </c>
      <c r="E23">
        <v>1341763298.333333</v>
      </c>
      <c r="F23">
        <v>841143.75</v>
      </c>
    </row>
    <row r="24" spans="1:6" x14ac:dyDescent="0.25">
      <c r="A24" t="s">
        <v>11</v>
      </c>
      <c r="B24">
        <v>3</v>
      </c>
      <c r="C24">
        <v>10329583090</v>
      </c>
      <c r="D24">
        <v>9385673830</v>
      </c>
      <c r="E24">
        <v>11273492350</v>
      </c>
      <c r="F24">
        <v>943909260</v>
      </c>
    </row>
    <row r="25" spans="1:6" x14ac:dyDescent="0.25">
      <c r="A25" t="s">
        <v>11</v>
      </c>
      <c r="B25">
        <v>4</v>
      </c>
      <c r="C25">
        <v>165525618592.5</v>
      </c>
      <c r="D25">
        <v>152343229690</v>
      </c>
      <c r="E25">
        <v>178708007495</v>
      </c>
      <c r="F25">
        <v>13182388902.5</v>
      </c>
    </row>
    <row r="26" spans="1:6" x14ac:dyDescent="0.25">
      <c r="A26" t="s">
        <v>12</v>
      </c>
      <c r="B26">
        <v>1</v>
      </c>
      <c r="C26">
        <v>576947460</v>
      </c>
      <c r="D26">
        <v>574006244.16666675</v>
      </c>
      <c r="E26">
        <v>579888675.83333337</v>
      </c>
      <c r="F26">
        <v>2941215.833333313</v>
      </c>
    </row>
    <row r="27" spans="1:6" x14ac:dyDescent="0.25">
      <c r="A27" t="s">
        <v>12</v>
      </c>
      <c r="B27">
        <v>2</v>
      </c>
      <c r="C27">
        <v>1335344472.5</v>
      </c>
      <c r="D27">
        <v>1331591807.5</v>
      </c>
      <c r="E27">
        <v>1339097137.5</v>
      </c>
      <c r="F27">
        <v>3752665</v>
      </c>
    </row>
    <row r="28" spans="1:6" ht="15" customHeight="1" x14ac:dyDescent="0.25">
      <c r="A28" s="1" t="s">
        <v>12</v>
      </c>
      <c r="B28">
        <v>3</v>
      </c>
      <c r="C28">
        <v>10294011245</v>
      </c>
      <c r="D28">
        <v>10274971405</v>
      </c>
      <c r="E28">
        <v>10313051085</v>
      </c>
      <c r="F28">
        <v>19039840</v>
      </c>
    </row>
    <row r="29" spans="1:6" x14ac:dyDescent="0.25">
      <c r="A29" t="s">
        <v>12</v>
      </c>
      <c r="B29">
        <v>4</v>
      </c>
      <c r="C29">
        <v>182503564792.5</v>
      </c>
      <c r="D29">
        <v>179975134060</v>
      </c>
      <c r="E29">
        <v>185031995525</v>
      </c>
      <c r="F29">
        <v>2528430732.5</v>
      </c>
    </row>
    <row r="30" spans="1:6" x14ac:dyDescent="0.25">
      <c r="A30" t="s">
        <v>13</v>
      </c>
      <c r="B30">
        <v>1</v>
      </c>
      <c r="C30">
        <v>590211833.33333349</v>
      </c>
      <c r="D30">
        <v>566487821.66666675</v>
      </c>
      <c r="E30">
        <v>613935845.00000024</v>
      </c>
      <c r="F30">
        <v>23724011.66666675</v>
      </c>
    </row>
    <row r="31" spans="1:6" ht="15" customHeight="1" x14ac:dyDescent="0.25">
      <c r="A31" s="1" t="s">
        <v>13</v>
      </c>
      <c r="B31">
        <v>2</v>
      </c>
      <c r="C31">
        <v>1278368099.583333</v>
      </c>
      <c r="D31">
        <v>1139680375.833333</v>
      </c>
      <c r="E31">
        <v>1417055823.333333</v>
      </c>
      <c r="F31">
        <v>138687723.75</v>
      </c>
    </row>
    <row r="32" spans="1:6" x14ac:dyDescent="0.25">
      <c r="A32" t="s">
        <v>13</v>
      </c>
      <c r="B32">
        <v>3</v>
      </c>
      <c r="C32">
        <v>10471703352.5</v>
      </c>
      <c r="D32">
        <v>10136860400</v>
      </c>
      <c r="E32">
        <v>10806546305</v>
      </c>
      <c r="F32">
        <v>334842952.5</v>
      </c>
    </row>
    <row r="33" spans="1:6" x14ac:dyDescent="0.25">
      <c r="A33" t="s">
        <v>13</v>
      </c>
      <c r="B33">
        <v>4</v>
      </c>
      <c r="C33">
        <v>185133768027.5</v>
      </c>
      <c r="D33">
        <v>184987471165</v>
      </c>
      <c r="E33">
        <v>185280064890</v>
      </c>
      <c r="F33">
        <v>146296862.5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20717709494.764622</v>
      </c>
      <c r="D37">
        <v>389482188.02907389</v>
      </c>
      <c r="E37">
        <v>78081180447.429138</v>
      </c>
      <c r="F37">
        <v>32169267707.021919</v>
      </c>
    </row>
    <row r="38" spans="1:6" x14ac:dyDescent="0.25">
      <c r="A38" t="s">
        <v>7</v>
      </c>
      <c r="C38">
        <v>40141658308.020844</v>
      </c>
      <c r="D38">
        <v>517486112.50000012</v>
      </c>
      <c r="E38">
        <v>157898863730</v>
      </c>
      <c r="F38">
        <v>63633230819.200203</v>
      </c>
    </row>
    <row r="39" spans="1:6" ht="15" customHeight="1" x14ac:dyDescent="0.25">
      <c r="A39" s="1" t="s">
        <v>8</v>
      </c>
      <c r="C39">
        <v>37198239354.375</v>
      </c>
      <c r="D39">
        <v>504155924.16666698</v>
      </c>
      <c r="E39">
        <v>137573600630</v>
      </c>
      <c r="F39">
        <v>58052526968.65979</v>
      </c>
    </row>
    <row r="40" spans="1:6" x14ac:dyDescent="0.25">
      <c r="A40" t="s">
        <v>9</v>
      </c>
      <c r="C40">
        <v>52983818952.604156</v>
      </c>
      <c r="D40">
        <v>577012780</v>
      </c>
      <c r="E40">
        <v>207978329810</v>
      </c>
      <c r="F40">
        <v>83919491060.454239</v>
      </c>
    </row>
    <row r="41" spans="1:6" x14ac:dyDescent="0.25">
      <c r="A41" t="s">
        <v>10</v>
      </c>
      <c r="C41">
        <v>46169316467.604156</v>
      </c>
      <c r="D41">
        <v>564815675</v>
      </c>
      <c r="E41">
        <v>173885034235</v>
      </c>
      <c r="F41">
        <v>73362806008.542709</v>
      </c>
    </row>
    <row r="42" spans="1:6" x14ac:dyDescent="0.25">
      <c r="A42" t="s">
        <v>11</v>
      </c>
      <c r="C42">
        <v>44449616586.354156</v>
      </c>
      <c r="D42">
        <v>575330315.83333337</v>
      </c>
      <c r="E42">
        <v>178708007495</v>
      </c>
      <c r="F42">
        <v>70319245231.130295</v>
      </c>
    </row>
    <row r="43" spans="1:6" ht="15" customHeight="1" x14ac:dyDescent="0.25">
      <c r="A43" s="1" t="s">
        <v>12</v>
      </c>
      <c r="C43">
        <v>48677466992.5</v>
      </c>
      <c r="D43">
        <v>574006244.16666675</v>
      </c>
      <c r="E43">
        <v>185031995525</v>
      </c>
      <c r="F43">
        <v>77369315653.410629</v>
      </c>
    </row>
    <row r="44" spans="1:6" x14ac:dyDescent="0.25">
      <c r="A44" t="s">
        <v>13</v>
      </c>
      <c r="C44">
        <v>49368512828.229156</v>
      </c>
      <c r="D44">
        <v>566487821.66666675</v>
      </c>
      <c r="E44">
        <v>185280064890</v>
      </c>
      <c r="F44">
        <v>78481374055.207108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396331711.0805437</v>
      </c>
      <c r="C49">
        <v>842176432.92416668</v>
      </c>
      <c r="D49">
        <v>5316624393.1655092</v>
      </c>
      <c r="E49">
        <v>76315705441.888245</v>
      </c>
    </row>
    <row r="50" spans="1:9" x14ac:dyDescent="0.25">
      <c r="A50" t="s">
        <v>7</v>
      </c>
      <c r="B50">
        <v>539459797.91666675</v>
      </c>
      <c r="C50">
        <v>1235901616.666667</v>
      </c>
      <c r="D50">
        <v>8789944702.5</v>
      </c>
      <c r="E50">
        <v>150001327115</v>
      </c>
    </row>
    <row r="51" spans="1:9" ht="15" customHeight="1" x14ac:dyDescent="0.25">
      <c r="A51" s="1" t="s">
        <v>8</v>
      </c>
      <c r="B51">
        <v>504157204.16666698</v>
      </c>
      <c r="C51">
        <v>1416650648.333333</v>
      </c>
      <c r="D51">
        <v>9298549255</v>
      </c>
      <c r="E51">
        <v>137573600310</v>
      </c>
    </row>
    <row r="52" spans="1:9" x14ac:dyDescent="0.25">
      <c r="A52" t="s">
        <v>9</v>
      </c>
      <c r="B52">
        <v>605487759.16666675</v>
      </c>
      <c r="C52">
        <v>1389458581.25</v>
      </c>
      <c r="D52">
        <v>12082251500</v>
      </c>
      <c r="E52">
        <v>197858077970</v>
      </c>
    </row>
    <row r="53" spans="1:9" x14ac:dyDescent="0.25">
      <c r="A53" t="s">
        <v>10</v>
      </c>
      <c r="B53">
        <v>566032104.16666675</v>
      </c>
      <c r="C53">
        <v>1239043151.25</v>
      </c>
      <c r="D53">
        <v>9792959497.5</v>
      </c>
      <c r="E53">
        <v>173079231117.5</v>
      </c>
    </row>
    <row r="54" spans="1:9" x14ac:dyDescent="0.25">
      <c r="A54" t="s">
        <v>11</v>
      </c>
      <c r="B54">
        <v>602342508.33333349</v>
      </c>
      <c r="C54">
        <v>1340922154.583333</v>
      </c>
      <c r="D54">
        <v>10329583090</v>
      </c>
      <c r="E54">
        <v>165525618592.5</v>
      </c>
    </row>
    <row r="55" spans="1:9" x14ac:dyDescent="0.25">
      <c r="A55" t="s">
        <v>12</v>
      </c>
      <c r="B55">
        <v>576947460</v>
      </c>
      <c r="C55">
        <v>1335344472.5</v>
      </c>
      <c r="D55">
        <v>10294011245</v>
      </c>
      <c r="E55">
        <v>182503564792.5</v>
      </c>
    </row>
    <row r="56" spans="1:9" x14ac:dyDescent="0.25">
      <c r="A56" t="s">
        <v>13</v>
      </c>
      <c r="B56">
        <v>590211833.33333349</v>
      </c>
      <c r="C56">
        <v>1278368099.583333</v>
      </c>
      <c r="D56">
        <v>10471703352.5</v>
      </c>
      <c r="E56">
        <v>185133768027.5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403181234.1320135</v>
      </c>
      <c r="C61">
        <v>389482188.02907389</v>
      </c>
      <c r="D61">
        <v>834045666.48728025</v>
      </c>
      <c r="E61">
        <v>850307199.36105311</v>
      </c>
      <c r="F61">
        <v>5250752995.2762966</v>
      </c>
      <c r="G61">
        <v>5382495791.0547218</v>
      </c>
      <c r="H61">
        <v>78081180447.429138</v>
      </c>
      <c r="I61">
        <v>74550230436.347351</v>
      </c>
    </row>
    <row r="62" spans="1:9" x14ac:dyDescent="0.25">
      <c r="A62" t="s">
        <v>7</v>
      </c>
      <c r="B62">
        <v>561433483.33333337</v>
      </c>
      <c r="C62">
        <v>517486112.50000012</v>
      </c>
      <c r="D62">
        <v>1211884144.166666</v>
      </c>
      <c r="E62">
        <v>1259919089.166667</v>
      </c>
      <c r="F62">
        <v>8231996005</v>
      </c>
      <c r="G62">
        <v>9347893400</v>
      </c>
      <c r="H62">
        <v>142103790500</v>
      </c>
      <c r="I62">
        <v>157898863730</v>
      </c>
    </row>
    <row r="63" spans="1:9" x14ac:dyDescent="0.25">
      <c r="A63" t="s">
        <v>8</v>
      </c>
      <c r="B63">
        <v>504158484.16666698</v>
      </c>
      <c r="C63">
        <v>504155924.16666698</v>
      </c>
      <c r="D63">
        <v>1416658328.333333</v>
      </c>
      <c r="E63">
        <v>1416642968.333333</v>
      </c>
      <c r="F63">
        <v>9298539655</v>
      </c>
      <c r="G63">
        <v>9298558855</v>
      </c>
      <c r="H63">
        <v>137573600630</v>
      </c>
      <c r="I63">
        <v>137573599990</v>
      </c>
    </row>
    <row r="64" spans="1:9" x14ac:dyDescent="0.25">
      <c r="A64" t="s">
        <v>9</v>
      </c>
      <c r="B64">
        <v>633962738.33333337</v>
      </c>
      <c r="C64">
        <v>577012780</v>
      </c>
      <c r="D64">
        <v>1333781446.666667</v>
      </c>
      <c r="E64">
        <v>1445135715.833333</v>
      </c>
      <c r="F64">
        <v>11344847505</v>
      </c>
      <c r="G64">
        <v>12819655495</v>
      </c>
      <c r="H64">
        <v>187737826130</v>
      </c>
      <c r="I64">
        <v>207978329810</v>
      </c>
    </row>
    <row r="65" spans="1:9" x14ac:dyDescent="0.25">
      <c r="A65" t="s">
        <v>10</v>
      </c>
      <c r="B65">
        <v>567248533.33333349</v>
      </c>
      <c r="C65">
        <v>564815675</v>
      </c>
      <c r="D65">
        <v>1253578939.166667</v>
      </c>
      <c r="E65">
        <v>1224507363.333333</v>
      </c>
      <c r="F65">
        <v>9823000805</v>
      </c>
      <c r="G65">
        <v>9762918190</v>
      </c>
      <c r="H65">
        <v>173885034235</v>
      </c>
      <c r="I65">
        <v>172273428000</v>
      </c>
    </row>
    <row r="66" spans="1:9" x14ac:dyDescent="0.25">
      <c r="A66" t="s">
        <v>11</v>
      </c>
      <c r="B66">
        <v>575330315.83333337</v>
      </c>
      <c r="C66">
        <v>629354700.83333349</v>
      </c>
      <c r="D66">
        <v>1341763298.333333</v>
      </c>
      <c r="E66">
        <v>1340081010.833333</v>
      </c>
      <c r="F66">
        <v>9385673830</v>
      </c>
      <c r="G66">
        <v>11273492350</v>
      </c>
      <c r="H66">
        <v>152343229690</v>
      </c>
      <c r="I66">
        <v>178708007495</v>
      </c>
    </row>
    <row r="67" spans="1:9" x14ac:dyDescent="0.25">
      <c r="A67" t="s">
        <v>12</v>
      </c>
      <c r="B67">
        <v>574006244.16666675</v>
      </c>
      <c r="C67">
        <v>579888675.83333337</v>
      </c>
      <c r="D67">
        <v>1339097137.5</v>
      </c>
      <c r="E67">
        <v>1331591807.5</v>
      </c>
      <c r="F67">
        <v>10274971405</v>
      </c>
      <c r="G67">
        <v>10313051085</v>
      </c>
      <c r="H67">
        <v>179975134060</v>
      </c>
      <c r="I67">
        <v>185031995525</v>
      </c>
    </row>
    <row r="68" spans="1:9" x14ac:dyDescent="0.25">
      <c r="A68" t="s">
        <v>13</v>
      </c>
      <c r="B68">
        <v>613935845.00000024</v>
      </c>
      <c r="C68">
        <v>566487821.66666675</v>
      </c>
      <c r="D68">
        <v>1417055823.333333</v>
      </c>
      <c r="E68">
        <v>1139680375.833333</v>
      </c>
      <c r="F68">
        <v>10136860400</v>
      </c>
      <c r="G68">
        <v>10806546305</v>
      </c>
      <c r="H68">
        <v>185280064890</v>
      </c>
      <c r="I68">
        <v>184987471165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14" customWidth="1"/>
    <col min="4" max="4" width="12" customWidth="1"/>
    <col min="5" max="5" width="13" customWidth="1"/>
    <col min="6" max="6" width="19" customWidth="1"/>
    <col min="7" max="7" width="10" customWidth="1"/>
    <col min="8" max="9" width="11" customWidth="1"/>
    <col min="10" max="31" width="10" customWidth="1"/>
    <col min="32" max="43" width="9" customWidth="1"/>
    <col min="44" max="53" width="8" customWidth="1"/>
    <col min="54" max="54" width="9" customWidth="1"/>
    <col min="55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689652</v>
      </c>
      <c r="D2">
        <v>684619</v>
      </c>
      <c r="E2">
        <v>694685</v>
      </c>
      <c r="F2">
        <v>5033</v>
      </c>
    </row>
    <row r="3" spans="1:6" x14ac:dyDescent="0.25">
      <c r="A3" t="s">
        <v>6</v>
      </c>
      <c r="B3">
        <v>2</v>
      </c>
      <c r="C3">
        <v>1492468.5</v>
      </c>
      <c r="D3">
        <v>1473739</v>
      </c>
      <c r="E3">
        <v>1511198</v>
      </c>
      <c r="F3">
        <v>18729.5</v>
      </c>
    </row>
    <row r="4" spans="1:6" x14ac:dyDescent="0.25">
      <c r="A4" t="s">
        <v>6</v>
      </c>
      <c r="B4">
        <v>3</v>
      </c>
      <c r="C4">
        <v>9783642</v>
      </c>
      <c r="D4">
        <v>9666372</v>
      </c>
      <c r="E4">
        <v>9900912</v>
      </c>
      <c r="F4">
        <v>117270</v>
      </c>
    </row>
    <row r="5" spans="1:6" x14ac:dyDescent="0.25">
      <c r="A5" t="s">
        <v>6</v>
      </c>
      <c r="B5">
        <v>4</v>
      </c>
      <c r="C5">
        <v>155924858.5</v>
      </c>
      <c r="D5">
        <v>148587369</v>
      </c>
      <c r="E5">
        <v>163262348</v>
      </c>
      <c r="F5">
        <v>7337489.5</v>
      </c>
    </row>
    <row r="6" spans="1:6" x14ac:dyDescent="0.25">
      <c r="A6" t="s">
        <v>7</v>
      </c>
      <c r="B6">
        <v>1</v>
      </c>
      <c r="C6">
        <v>681691.5</v>
      </c>
      <c r="D6">
        <v>645316</v>
      </c>
      <c r="E6">
        <v>718067</v>
      </c>
      <c r="F6">
        <v>36375.5</v>
      </c>
    </row>
    <row r="7" spans="1:6" x14ac:dyDescent="0.25">
      <c r="A7" t="s">
        <v>7</v>
      </c>
      <c r="B7">
        <v>2</v>
      </c>
      <c r="C7">
        <v>1571988.5</v>
      </c>
      <c r="D7">
        <v>1524249</v>
      </c>
      <c r="E7">
        <v>1619728</v>
      </c>
      <c r="F7">
        <v>47739.5</v>
      </c>
    </row>
    <row r="8" spans="1:6" x14ac:dyDescent="0.25">
      <c r="A8" t="s">
        <v>7</v>
      </c>
      <c r="B8">
        <v>3</v>
      </c>
      <c r="C8">
        <v>9899651</v>
      </c>
      <c r="D8">
        <v>9001812</v>
      </c>
      <c r="E8">
        <v>10797490</v>
      </c>
      <c r="F8">
        <v>897839</v>
      </c>
    </row>
    <row r="9" spans="1:6" x14ac:dyDescent="0.25">
      <c r="A9" t="s">
        <v>7</v>
      </c>
      <c r="B9">
        <v>4</v>
      </c>
      <c r="C9">
        <v>173599696.5</v>
      </c>
      <c r="D9">
        <v>161213607</v>
      </c>
      <c r="E9">
        <v>185985786</v>
      </c>
      <c r="F9">
        <v>12386089.5</v>
      </c>
    </row>
    <row r="10" spans="1:6" x14ac:dyDescent="0.25">
      <c r="A10" t="s">
        <v>8</v>
      </c>
      <c r="B10">
        <v>1</v>
      </c>
      <c r="C10">
        <v>610420</v>
      </c>
      <c r="D10">
        <v>610418</v>
      </c>
      <c r="E10">
        <v>610422</v>
      </c>
      <c r="F10">
        <v>2</v>
      </c>
    </row>
    <row r="11" spans="1:6" x14ac:dyDescent="0.25">
      <c r="A11" t="s">
        <v>8</v>
      </c>
      <c r="B11">
        <v>2</v>
      </c>
      <c r="C11">
        <v>1824271</v>
      </c>
      <c r="D11">
        <v>1824259</v>
      </c>
      <c r="E11">
        <v>1824283</v>
      </c>
      <c r="F11">
        <v>12</v>
      </c>
    </row>
    <row r="12" spans="1:6" ht="15" customHeight="1" x14ac:dyDescent="0.25">
      <c r="A12" s="1" t="s">
        <v>8</v>
      </c>
      <c r="B12">
        <v>3</v>
      </c>
      <c r="C12">
        <v>10282758</v>
      </c>
      <c r="D12">
        <v>10282743</v>
      </c>
      <c r="E12">
        <v>10282773</v>
      </c>
      <c r="F12">
        <v>15</v>
      </c>
    </row>
    <row r="13" spans="1:6" x14ac:dyDescent="0.25">
      <c r="A13" t="s">
        <v>8</v>
      </c>
      <c r="B13">
        <v>4</v>
      </c>
      <c r="C13">
        <v>142476879.5</v>
      </c>
      <c r="D13">
        <v>142476879</v>
      </c>
      <c r="E13">
        <v>142476880</v>
      </c>
      <c r="F13">
        <v>0.5</v>
      </c>
    </row>
    <row r="14" spans="1:6" x14ac:dyDescent="0.25">
      <c r="A14" t="s">
        <v>9</v>
      </c>
      <c r="B14">
        <v>1</v>
      </c>
      <c r="C14">
        <v>771607</v>
      </c>
      <c r="D14">
        <v>726473</v>
      </c>
      <c r="E14">
        <v>816741</v>
      </c>
      <c r="F14">
        <v>45134</v>
      </c>
    </row>
    <row r="15" spans="1:6" x14ac:dyDescent="0.25">
      <c r="A15" t="s">
        <v>9</v>
      </c>
      <c r="B15">
        <v>2</v>
      </c>
      <c r="C15">
        <v>1796553</v>
      </c>
      <c r="D15">
        <v>1728612</v>
      </c>
      <c r="E15">
        <v>1864494</v>
      </c>
      <c r="F15">
        <v>67941</v>
      </c>
    </row>
    <row r="16" spans="1:6" x14ac:dyDescent="0.25">
      <c r="A16" t="s">
        <v>9</v>
      </c>
      <c r="B16">
        <v>3</v>
      </c>
      <c r="C16">
        <v>14566156</v>
      </c>
      <c r="D16">
        <v>13559755</v>
      </c>
      <c r="E16">
        <v>15572557</v>
      </c>
      <c r="F16">
        <v>1006401</v>
      </c>
    </row>
    <row r="17" spans="1:6" x14ac:dyDescent="0.25">
      <c r="A17" t="s">
        <v>9</v>
      </c>
      <c r="B17">
        <v>4</v>
      </c>
      <c r="C17">
        <v>235284707.5</v>
      </c>
      <c r="D17">
        <v>222559023</v>
      </c>
      <c r="E17">
        <v>248010392</v>
      </c>
      <c r="F17">
        <v>12725684.5</v>
      </c>
    </row>
    <row r="18" spans="1:6" x14ac:dyDescent="0.25">
      <c r="A18" t="s">
        <v>10</v>
      </c>
      <c r="B18">
        <v>1</v>
      </c>
      <c r="C18">
        <v>710447.5</v>
      </c>
      <c r="D18">
        <v>710114</v>
      </c>
      <c r="E18">
        <v>710781</v>
      </c>
      <c r="F18">
        <v>333.5</v>
      </c>
    </row>
    <row r="19" spans="1:6" x14ac:dyDescent="0.25">
      <c r="A19" t="s">
        <v>10</v>
      </c>
      <c r="B19">
        <v>2</v>
      </c>
      <c r="C19">
        <v>1551975</v>
      </c>
      <c r="D19">
        <v>1539554</v>
      </c>
      <c r="E19">
        <v>1564396</v>
      </c>
      <c r="F19">
        <v>12421</v>
      </c>
    </row>
    <row r="20" spans="1:6" ht="15" customHeight="1" x14ac:dyDescent="0.25">
      <c r="A20" s="1" t="s">
        <v>10</v>
      </c>
      <c r="B20">
        <v>3</v>
      </c>
      <c r="C20">
        <v>11127516</v>
      </c>
      <c r="D20">
        <v>11032610</v>
      </c>
      <c r="E20">
        <v>11222422</v>
      </c>
      <c r="F20">
        <v>94906</v>
      </c>
    </row>
    <row r="21" spans="1:6" x14ac:dyDescent="0.25">
      <c r="A21" t="s">
        <v>10</v>
      </c>
      <c r="B21">
        <v>4</v>
      </c>
      <c r="C21">
        <v>199411181</v>
      </c>
      <c r="D21">
        <v>197595683</v>
      </c>
      <c r="E21">
        <v>201226679</v>
      </c>
      <c r="F21">
        <v>1815498</v>
      </c>
    </row>
    <row r="22" spans="1:6" x14ac:dyDescent="0.25">
      <c r="A22" t="s">
        <v>11</v>
      </c>
      <c r="B22">
        <v>1</v>
      </c>
      <c r="C22">
        <v>764003.5</v>
      </c>
      <c r="D22">
        <v>728259</v>
      </c>
      <c r="E22">
        <v>799748</v>
      </c>
      <c r="F22">
        <v>35744.5</v>
      </c>
    </row>
    <row r="23" spans="1:6" ht="15" customHeight="1" x14ac:dyDescent="0.25">
      <c r="A23" s="1" t="s">
        <v>11</v>
      </c>
      <c r="B23">
        <v>2</v>
      </c>
      <c r="C23">
        <v>1713791</v>
      </c>
      <c r="D23">
        <v>1699005</v>
      </c>
      <c r="E23">
        <v>1728577</v>
      </c>
      <c r="F23">
        <v>14786</v>
      </c>
    </row>
    <row r="24" spans="1:6" x14ac:dyDescent="0.25">
      <c r="A24" t="s">
        <v>11</v>
      </c>
      <c r="B24">
        <v>3</v>
      </c>
      <c r="C24">
        <v>11950338.5</v>
      </c>
      <c r="D24">
        <v>10453455</v>
      </c>
      <c r="E24">
        <v>13447222</v>
      </c>
      <c r="F24">
        <v>1496883.5</v>
      </c>
    </row>
    <row r="25" spans="1:6" x14ac:dyDescent="0.25">
      <c r="A25" t="s">
        <v>11</v>
      </c>
      <c r="B25">
        <v>4</v>
      </c>
      <c r="C25">
        <v>192381979</v>
      </c>
      <c r="D25">
        <v>173140660</v>
      </c>
      <c r="E25">
        <v>211623298</v>
      </c>
      <c r="F25">
        <v>19241319</v>
      </c>
    </row>
    <row r="26" spans="1:6" x14ac:dyDescent="0.25">
      <c r="A26" t="s">
        <v>12</v>
      </c>
      <c r="B26">
        <v>1</v>
      </c>
      <c r="C26">
        <v>724873</v>
      </c>
      <c r="D26">
        <v>716908</v>
      </c>
      <c r="E26">
        <v>732838</v>
      </c>
      <c r="F26">
        <v>7965</v>
      </c>
    </row>
    <row r="27" spans="1:6" x14ac:dyDescent="0.25">
      <c r="A27" t="s">
        <v>12</v>
      </c>
      <c r="B27">
        <v>2</v>
      </c>
      <c r="C27">
        <v>1694718</v>
      </c>
      <c r="D27">
        <v>1688618</v>
      </c>
      <c r="E27">
        <v>1700818</v>
      </c>
      <c r="F27">
        <v>6100</v>
      </c>
    </row>
    <row r="28" spans="1:6" ht="15" customHeight="1" x14ac:dyDescent="0.25">
      <c r="A28" s="1" t="s">
        <v>12</v>
      </c>
      <c r="B28">
        <v>3</v>
      </c>
      <c r="C28">
        <v>11926550.5</v>
      </c>
      <c r="D28">
        <v>11893891</v>
      </c>
      <c r="E28">
        <v>11959210</v>
      </c>
      <c r="F28">
        <v>32659.5</v>
      </c>
    </row>
    <row r="29" spans="1:6" x14ac:dyDescent="0.25">
      <c r="A29" t="s">
        <v>12</v>
      </c>
      <c r="B29">
        <v>4</v>
      </c>
      <c r="C29">
        <v>214307963.5</v>
      </c>
      <c r="D29">
        <v>209800700</v>
      </c>
      <c r="E29">
        <v>218815227</v>
      </c>
      <c r="F29">
        <v>4507263.5</v>
      </c>
    </row>
    <row r="30" spans="1:6" x14ac:dyDescent="0.25">
      <c r="A30" t="s">
        <v>13</v>
      </c>
      <c r="B30">
        <v>1</v>
      </c>
      <c r="C30">
        <v>745045.5</v>
      </c>
      <c r="D30">
        <v>710726</v>
      </c>
      <c r="E30">
        <v>779365</v>
      </c>
      <c r="F30">
        <v>34319.5</v>
      </c>
    </row>
    <row r="31" spans="1:6" ht="15" customHeight="1" x14ac:dyDescent="0.25">
      <c r="A31" s="1" t="s">
        <v>13</v>
      </c>
      <c r="B31">
        <v>2</v>
      </c>
      <c r="C31">
        <v>1621505.5</v>
      </c>
      <c r="D31">
        <v>1415466</v>
      </c>
      <c r="E31">
        <v>1827545</v>
      </c>
      <c r="F31">
        <v>206039.5</v>
      </c>
    </row>
    <row r="32" spans="1:6" x14ac:dyDescent="0.25">
      <c r="A32" t="s">
        <v>13</v>
      </c>
      <c r="B32">
        <v>3</v>
      </c>
      <c r="C32">
        <v>12213473</v>
      </c>
      <c r="D32">
        <v>11900484</v>
      </c>
      <c r="E32">
        <v>12526462</v>
      </c>
      <c r="F32">
        <v>312989</v>
      </c>
    </row>
    <row r="33" spans="1:6" x14ac:dyDescent="0.25">
      <c r="A33" t="s">
        <v>13</v>
      </c>
      <c r="B33">
        <v>4</v>
      </c>
      <c r="C33">
        <v>219023506</v>
      </c>
      <c r="D33">
        <v>216678160</v>
      </c>
      <c r="E33">
        <v>221368852</v>
      </c>
      <c r="F33">
        <v>2345346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41972655.25</v>
      </c>
      <c r="D37">
        <v>684619</v>
      </c>
      <c r="E37">
        <v>163262348</v>
      </c>
      <c r="F37">
        <v>65988676.977063917</v>
      </c>
    </row>
    <row r="38" spans="1:6" x14ac:dyDescent="0.25">
      <c r="A38" t="s">
        <v>7</v>
      </c>
      <c r="C38">
        <v>46438256.875</v>
      </c>
      <c r="D38">
        <v>645316</v>
      </c>
      <c r="E38">
        <v>185985786</v>
      </c>
      <c r="F38">
        <v>73766475.600055054</v>
      </c>
    </row>
    <row r="39" spans="1:6" ht="15" customHeight="1" x14ac:dyDescent="0.25">
      <c r="A39" s="1" t="s">
        <v>8</v>
      </c>
      <c r="C39">
        <v>38798582.125</v>
      </c>
      <c r="D39">
        <v>610418</v>
      </c>
      <c r="E39">
        <v>142476880</v>
      </c>
      <c r="F39">
        <v>59974529.972649261</v>
      </c>
    </row>
    <row r="40" spans="1:6" x14ac:dyDescent="0.25">
      <c r="A40" t="s">
        <v>9</v>
      </c>
      <c r="C40">
        <v>63104755.875</v>
      </c>
      <c r="D40">
        <v>726473</v>
      </c>
      <c r="E40">
        <v>248010392</v>
      </c>
      <c r="F40">
        <v>99760978.280427292</v>
      </c>
    </row>
    <row r="41" spans="1:6" x14ac:dyDescent="0.25">
      <c r="A41" t="s">
        <v>10</v>
      </c>
      <c r="C41">
        <v>53200279.875</v>
      </c>
      <c r="D41">
        <v>710114</v>
      </c>
      <c r="E41">
        <v>201226679</v>
      </c>
      <c r="F41">
        <v>84518903.450074226</v>
      </c>
    </row>
    <row r="42" spans="1:6" x14ac:dyDescent="0.25">
      <c r="A42" t="s">
        <v>11</v>
      </c>
      <c r="C42">
        <v>51702528</v>
      </c>
      <c r="D42">
        <v>728259</v>
      </c>
      <c r="E42">
        <v>211623298</v>
      </c>
      <c r="F42">
        <v>81910045.357948914</v>
      </c>
    </row>
    <row r="43" spans="1:6" ht="15" customHeight="1" x14ac:dyDescent="0.25">
      <c r="A43" s="1" t="s">
        <v>12</v>
      </c>
      <c r="C43">
        <v>57163526.25</v>
      </c>
      <c r="D43">
        <v>716908</v>
      </c>
      <c r="E43">
        <v>218815227</v>
      </c>
      <c r="F43">
        <v>90861412.319156244</v>
      </c>
    </row>
    <row r="44" spans="1:6" x14ac:dyDescent="0.25">
      <c r="A44" t="s">
        <v>13</v>
      </c>
      <c r="C44">
        <v>58400882.5</v>
      </c>
      <c r="D44">
        <v>710726</v>
      </c>
      <c r="E44">
        <v>221368852</v>
      </c>
      <c r="F44">
        <v>92852893.61282666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689652</v>
      </c>
      <c r="C49">
        <v>1492468.5</v>
      </c>
      <c r="D49">
        <v>9783642</v>
      </c>
      <c r="E49">
        <v>155924858.5</v>
      </c>
    </row>
    <row r="50" spans="1:9" x14ac:dyDescent="0.25">
      <c r="A50" t="s">
        <v>7</v>
      </c>
      <c r="B50">
        <v>681691.5</v>
      </c>
      <c r="C50">
        <v>1571988.5</v>
      </c>
      <c r="D50">
        <v>9899651</v>
      </c>
      <c r="E50">
        <v>173599696.5</v>
      </c>
    </row>
    <row r="51" spans="1:9" ht="15" customHeight="1" x14ac:dyDescent="0.25">
      <c r="A51" s="1" t="s">
        <v>8</v>
      </c>
      <c r="B51">
        <v>610420</v>
      </c>
      <c r="C51">
        <v>1824271</v>
      </c>
      <c r="D51">
        <v>10282758</v>
      </c>
      <c r="E51">
        <v>142476879.5</v>
      </c>
    </row>
    <row r="52" spans="1:9" x14ac:dyDescent="0.25">
      <c r="A52" t="s">
        <v>9</v>
      </c>
      <c r="B52">
        <v>771607</v>
      </c>
      <c r="C52">
        <v>1796553</v>
      </c>
      <c r="D52">
        <v>14566156</v>
      </c>
      <c r="E52">
        <v>235284707.5</v>
      </c>
    </row>
    <row r="53" spans="1:9" x14ac:dyDescent="0.25">
      <c r="A53" t="s">
        <v>10</v>
      </c>
      <c r="B53">
        <v>710447.5</v>
      </c>
      <c r="C53">
        <v>1551975</v>
      </c>
      <c r="D53">
        <v>11127516</v>
      </c>
      <c r="E53">
        <v>199411181</v>
      </c>
    </row>
    <row r="54" spans="1:9" x14ac:dyDescent="0.25">
      <c r="A54" t="s">
        <v>11</v>
      </c>
      <c r="B54">
        <v>764003.5</v>
      </c>
      <c r="C54">
        <v>1713791</v>
      </c>
      <c r="D54">
        <v>11950338.5</v>
      </c>
      <c r="E54">
        <v>192381979</v>
      </c>
    </row>
    <row r="55" spans="1:9" x14ac:dyDescent="0.25">
      <c r="A55" t="s">
        <v>12</v>
      </c>
      <c r="B55">
        <v>724873</v>
      </c>
      <c r="C55">
        <v>1694718</v>
      </c>
      <c r="D55">
        <v>11926550.5</v>
      </c>
      <c r="E55">
        <v>214307963.5</v>
      </c>
    </row>
    <row r="56" spans="1:9" x14ac:dyDescent="0.25">
      <c r="A56" t="s">
        <v>13</v>
      </c>
      <c r="B56">
        <v>745045.5</v>
      </c>
      <c r="C56">
        <v>1621505.5</v>
      </c>
      <c r="D56">
        <v>12213473</v>
      </c>
      <c r="E56">
        <v>219023506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694685</v>
      </c>
      <c r="C61">
        <v>684619</v>
      </c>
      <c r="D61">
        <v>1473739</v>
      </c>
      <c r="E61">
        <v>1511198</v>
      </c>
      <c r="F61">
        <v>9900912</v>
      </c>
      <c r="G61">
        <v>9666372</v>
      </c>
      <c r="H61">
        <v>148587369</v>
      </c>
      <c r="I61">
        <v>163262348</v>
      </c>
    </row>
    <row r="62" spans="1:9" x14ac:dyDescent="0.25">
      <c r="A62" t="s">
        <v>7</v>
      </c>
      <c r="B62">
        <v>718067</v>
      </c>
      <c r="C62">
        <v>645316</v>
      </c>
      <c r="D62">
        <v>1524249</v>
      </c>
      <c r="E62">
        <v>1619728</v>
      </c>
      <c r="F62">
        <v>9001812</v>
      </c>
      <c r="G62">
        <v>10797490</v>
      </c>
      <c r="H62">
        <v>161213607</v>
      </c>
      <c r="I62">
        <v>185985786</v>
      </c>
    </row>
    <row r="63" spans="1:9" x14ac:dyDescent="0.25">
      <c r="A63" t="s">
        <v>8</v>
      </c>
      <c r="B63">
        <v>610422</v>
      </c>
      <c r="C63">
        <v>610418</v>
      </c>
      <c r="D63">
        <v>1824283</v>
      </c>
      <c r="E63">
        <v>1824259</v>
      </c>
      <c r="F63">
        <v>10282743</v>
      </c>
      <c r="G63">
        <v>10282773</v>
      </c>
      <c r="H63">
        <v>142476880</v>
      </c>
      <c r="I63">
        <v>142476879</v>
      </c>
    </row>
    <row r="64" spans="1:9" x14ac:dyDescent="0.25">
      <c r="A64" t="s">
        <v>9</v>
      </c>
      <c r="B64">
        <v>816741</v>
      </c>
      <c r="C64">
        <v>726473</v>
      </c>
      <c r="D64">
        <v>1728612</v>
      </c>
      <c r="E64">
        <v>1864494</v>
      </c>
      <c r="F64">
        <v>13559755</v>
      </c>
      <c r="G64">
        <v>15572557</v>
      </c>
      <c r="H64">
        <v>222559023</v>
      </c>
      <c r="I64">
        <v>248010392</v>
      </c>
    </row>
    <row r="65" spans="1:9" x14ac:dyDescent="0.25">
      <c r="A65" t="s">
        <v>10</v>
      </c>
      <c r="B65">
        <v>710781</v>
      </c>
      <c r="C65">
        <v>710114</v>
      </c>
      <c r="D65">
        <v>1564396</v>
      </c>
      <c r="E65">
        <v>1539554</v>
      </c>
      <c r="F65">
        <v>11222422</v>
      </c>
      <c r="G65">
        <v>11032610</v>
      </c>
      <c r="H65">
        <v>201226679</v>
      </c>
      <c r="I65">
        <v>197595683</v>
      </c>
    </row>
    <row r="66" spans="1:9" x14ac:dyDescent="0.25">
      <c r="A66" t="s">
        <v>11</v>
      </c>
      <c r="B66">
        <v>728259</v>
      </c>
      <c r="C66">
        <v>799748</v>
      </c>
      <c r="D66">
        <v>1728577</v>
      </c>
      <c r="E66">
        <v>1699005</v>
      </c>
      <c r="F66">
        <v>10453455</v>
      </c>
      <c r="G66">
        <v>13447222</v>
      </c>
      <c r="H66">
        <v>173140660</v>
      </c>
      <c r="I66">
        <v>211623298</v>
      </c>
    </row>
    <row r="67" spans="1:9" x14ac:dyDescent="0.25">
      <c r="A67" t="s">
        <v>12</v>
      </c>
      <c r="B67">
        <v>716908</v>
      </c>
      <c r="C67">
        <v>732838</v>
      </c>
      <c r="D67">
        <v>1700818</v>
      </c>
      <c r="E67">
        <v>1688618</v>
      </c>
      <c r="F67">
        <v>11893891</v>
      </c>
      <c r="G67">
        <v>11959210</v>
      </c>
      <c r="H67">
        <v>209800700</v>
      </c>
      <c r="I67">
        <v>218815227</v>
      </c>
    </row>
    <row r="68" spans="1:9" x14ac:dyDescent="0.25">
      <c r="A68" t="s">
        <v>13</v>
      </c>
      <c r="B68">
        <v>779365</v>
      </c>
      <c r="C68">
        <v>710726</v>
      </c>
      <c r="D68">
        <v>1827545</v>
      </c>
      <c r="E68">
        <v>1415466</v>
      </c>
      <c r="F68">
        <v>11900484</v>
      </c>
      <c r="G68">
        <v>12526462</v>
      </c>
      <c r="H68">
        <v>216678160</v>
      </c>
      <c r="I68">
        <v>221368852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1" customWidth="1"/>
    <col min="7" max="9" width="6" customWidth="1"/>
    <col min="10" max="61" width="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6</v>
      </c>
      <c r="B5">
        <v>4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1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2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7</v>
      </c>
      <c r="B8">
        <v>3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7</v>
      </c>
      <c r="B9">
        <v>4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1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8</v>
      </c>
      <c r="B11">
        <v>2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1</v>
      </c>
      <c r="D12" s="2" t="b">
        <v>1</v>
      </c>
      <c r="E12" s="2" t="b">
        <v>1</v>
      </c>
      <c r="F12">
        <v>0</v>
      </c>
    </row>
    <row r="13" spans="1:6" ht="15" customHeight="1" x14ac:dyDescent="0.25">
      <c r="A13" t="s">
        <v>8</v>
      </c>
      <c r="B13">
        <v>4</v>
      </c>
      <c r="C13">
        <v>1</v>
      </c>
      <c r="D13" s="2" t="b">
        <v>1</v>
      </c>
      <c r="E13" s="2" t="b">
        <v>1</v>
      </c>
      <c r="F13">
        <v>0</v>
      </c>
    </row>
    <row r="14" spans="1:6" ht="15" customHeight="1" x14ac:dyDescent="0.25">
      <c r="A14" t="s">
        <v>9</v>
      </c>
      <c r="B14">
        <v>1</v>
      </c>
      <c r="C14">
        <v>0.5</v>
      </c>
      <c r="D14" s="2" t="b">
        <v>0</v>
      </c>
      <c r="E14" s="2" t="b">
        <v>1</v>
      </c>
      <c r="F14">
        <v>0.5</v>
      </c>
    </row>
    <row r="15" spans="1:6" ht="15" customHeight="1" x14ac:dyDescent="0.25">
      <c r="A15" t="s">
        <v>9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9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9</v>
      </c>
      <c r="B17">
        <v>4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10</v>
      </c>
      <c r="B18">
        <v>1</v>
      </c>
      <c r="C18">
        <v>1</v>
      </c>
      <c r="D18" s="2" t="b">
        <v>1</v>
      </c>
      <c r="E18" s="2" t="b">
        <v>1</v>
      </c>
      <c r="F18">
        <v>0</v>
      </c>
    </row>
    <row r="19" spans="1:6" ht="15" customHeight="1" x14ac:dyDescent="0.25">
      <c r="A19" t="s">
        <v>10</v>
      </c>
      <c r="B19">
        <v>2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10</v>
      </c>
      <c r="B20">
        <v>3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10</v>
      </c>
      <c r="B21">
        <v>4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11</v>
      </c>
      <c r="B22">
        <v>1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11</v>
      </c>
      <c r="B23">
        <v>2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11</v>
      </c>
      <c r="B24">
        <v>3</v>
      </c>
      <c r="C24">
        <v>1</v>
      </c>
      <c r="D24" s="2" t="b">
        <v>1</v>
      </c>
      <c r="E24" s="2" t="b">
        <v>1</v>
      </c>
      <c r="F24">
        <v>0</v>
      </c>
    </row>
    <row r="25" spans="1:6" ht="15" customHeight="1" x14ac:dyDescent="0.25">
      <c r="A25" t="s">
        <v>11</v>
      </c>
      <c r="B25">
        <v>4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A26" t="s">
        <v>12</v>
      </c>
      <c r="B26">
        <v>1</v>
      </c>
      <c r="C26">
        <v>1</v>
      </c>
      <c r="D26" s="2" t="b">
        <v>1</v>
      </c>
      <c r="E26" s="2" t="b">
        <v>1</v>
      </c>
      <c r="F26">
        <v>0</v>
      </c>
    </row>
    <row r="27" spans="1:6" ht="15" customHeight="1" x14ac:dyDescent="0.25">
      <c r="A27" t="s">
        <v>12</v>
      </c>
      <c r="B27">
        <v>2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12</v>
      </c>
      <c r="B28">
        <v>3</v>
      </c>
      <c r="C28">
        <v>1</v>
      </c>
      <c r="D28" s="2" t="b">
        <v>1</v>
      </c>
      <c r="E28" s="2" t="b">
        <v>1</v>
      </c>
      <c r="F28">
        <v>0</v>
      </c>
    </row>
    <row r="29" spans="1:6" ht="15" customHeight="1" x14ac:dyDescent="0.25">
      <c r="A29" t="s">
        <v>12</v>
      </c>
      <c r="B29">
        <v>4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13</v>
      </c>
      <c r="B30">
        <v>1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13</v>
      </c>
      <c r="B31">
        <v>2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13</v>
      </c>
      <c r="B32">
        <v>3</v>
      </c>
      <c r="C32">
        <v>1</v>
      </c>
      <c r="D32" s="2" t="b">
        <v>1</v>
      </c>
      <c r="E32" s="2" t="b">
        <v>1</v>
      </c>
      <c r="F32">
        <v>0</v>
      </c>
    </row>
    <row r="33" spans="1:11" ht="15" customHeight="1" x14ac:dyDescent="0.25">
      <c r="A33" t="s">
        <v>13</v>
      </c>
      <c r="B33">
        <v>4</v>
      </c>
      <c r="C33">
        <v>1</v>
      </c>
      <c r="D33" s="2" t="b">
        <v>1</v>
      </c>
      <c r="E33" s="2" t="b">
        <v>1</v>
      </c>
      <c r="F33">
        <v>0</v>
      </c>
    </row>
    <row r="34" spans="1:11" ht="15" customHeight="1" x14ac:dyDescent="0.25">
      <c r="D34" s="2"/>
      <c r="E34" s="2"/>
    </row>
    <row r="35" spans="1:11" ht="15" customHeight="1" x14ac:dyDescent="0.25">
      <c r="A35" s="1"/>
      <c r="D35" s="2"/>
      <c r="E35" s="2"/>
    </row>
    <row r="36" spans="1:11" ht="15" customHeight="1" x14ac:dyDescent="0.25">
      <c r="A36" s="4" t="s">
        <v>14</v>
      </c>
      <c r="D36" s="2"/>
      <c r="E36" s="2"/>
    </row>
    <row r="37" spans="1:11" ht="15" customHeight="1" x14ac:dyDescent="0.25">
      <c r="A37" t="s">
        <v>6</v>
      </c>
      <c r="C37">
        <v>1</v>
      </c>
      <c r="D37" s="2" t="b">
        <v>1</v>
      </c>
      <c r="E37" s="2" t="b">
        <v>1</v>
      </c>
      <c r="F37" s="2">
        <v>0</v>
      </c>
      <c r="G37" s="2"/>
      <c r="H37" s="2"/>
      <c r="I37" s="2"/>
      <c r="J37" s="2"/>
      <c r="K37" s="2"/>
    </row>
    <row r="38" spans="1:11" ht="15" customHeight="1" x14ac:dyDescent="0.25">
      <c r="A38" t="s">
        <v>7</v>
      </c>
      <c r="C38">
        <v>1</v>
      </c>
      <c r="D38" s="2" t="b">
        <v>1</v>
      </c>
      <c r="E38" s="2" t="b">
        <v>1</v>
      </c>
      <c r="F38" s="2">
        <v>0</v>
      </c>
      <c r="G38" s="2"/>
      <c r="H38" s="2"/>
      <c r="I38" s="2"/>
      <c r="J38" s="2"/>
      <c r="K38" s="2"/>
    </row>
    <row r="39" spans="1:11" ht="15" customHeight="1" x14ac:dyDescent="0.25">
      <c r="A39" s="1" t="s">
        <v>8</v>
      </c>
      <c r="C39">
        <v>1</v>
      </c>
      <c r="D39" s="2" t="b">
        <v>1</v>
      </c>
      <c r="E39" s="2" t="b">
        <v>1</v>
      </c>
      <c r="F39" s="2">
        <v>0</v>
      </c>
      <c r="G39" s="2"/>
      <c r="H39" s="2"/>
      <c r="I39" s="2"/>
      <c r="J39" s="2"/>
      <c r="K39" s="2"/>
    </row>
    <row r="40" spans="1:11" ht="15" customHeight="1" x14ac:dyDescent="0.25">
      <c r="A40" t="s">
        <v>9</v>
      </c>
      <c r="C40">
        <v>0.875</v>
      </c>
      <c r="D40" t="b">
        <v>0</v>
      </c>
      <c r="E40" s="2" t="b">
        <v>1</v>
      </c>
      <c r="F40" s="2">
        <v>0.33071891388307378</v>
      </c>
      <c r="G40" s="2"/>
      <c r="H40" s="2"/>
      <c r="I40" s="2"/>
      <c r="J40" s="2"/>
      <c r="K40" s="2"/>
    </row>
    <row r="41" spans="1:11" ht="15" customHeight="1" x14ac:dyDescent="0.25">
      <c r="A41" t="s">
        <v>10</v>
      </c>
      <c r="C41">
        <v>1</v>
      </c>
      <c r="D41" t="b">
        <v>1</v>
      </c>
      <c r="E41" s="2" t="b">
        <v>1</v>
      </c>
      <c r="F41" s="2">
        <v>0</v>
      </c>
      <c r="G41" s="2"/>
      <c r="H41" s="2"/>
      <c r="I41" s="2"/>
      <c r="J41" s="2"/>
      <c r="K41" s="2"/>
    </row>
    <row r="42" spans="1:11" ht="15" customHeight="1" x14ac:dyDescent="0.25">
      <c r="A42" t="s">
        <v>11</v>
      </c>
      <c r="C42">
        <v>1</v>
      </c>
      <c r="D42" t="b">
        <v>1</v>
      </c>
      <c r="E42" s="2" t="b">
        <v>1</v>
      </c>
      <c r="F42" s="2">
        <v>0</v>
      </c>
      <c r="G42" s="2"/>
      <c r="H42" s="2"/>
      <c r="I42" s="2"/>
      <c r="J42" s="2"/>
      <c r="K42" s="2"/>
    </row>
    <row r="43" spans="1:11" ht="15" customHeight="1" x14ac:dyDescent="0.25">
      <c r="A43" s="1" t="s">
        <v>12</v>
      </c>
      <c r="C43">
        <v>1</v>
      </c>
      <c r="D43" t="b">
        <v>1</v>
      </c>
      <c r="E43" s="2" t="b">
        <v>1</v>
      </c>
      <c r="F43" s="2">
        <v>0</v>
      </c>
      <c r="G43" s="2"/>
      <c r="H43" s="2"/>
      <c r="I43" s="2"/>
      <c r="J43" s="2"/>
      <c r="K43" s="2"/>
    </row>
    <row r="44" spans="1:11" x14ac:dyDescent="0.25">
      <c r="A44" t="s">
        <v>13</v>
      </c>
      <c r="C44">
        <v>1</v>
      </c>
      <c r="D44" t="b">
        <v>1</v>
      </c>
      <c r="E44" t="b">
        <v>1</v>
      </c>
      <c r="F44">
        <v>0</v>
      </c>
    </row>
    <row r="45" spans="1:11" ht="1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" customHeight="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4" t="s">
        <v>15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16</v>
      </c>
      <c r="B48" s="2">
        <v>1</v>
      </c>
      <c r="C48" s="2">
        <v>2</v>
      </c>
      <c r="D48" s="2">
        <v>3</v>
      </c>
      <c r="E48" s="2">
        <v>4</v>
      </c>
      <c r="F48" s="2"/>
      <c r="G48" s="2"/>
      <c r="H48" s="2"/>
      <c r="I48" s="2"/>
      <c r="J48" s="2"/>
      <c r="K48" s="2"/>
    </row>
    <row r="49" spans="1:61" ht="15" customHeight="1" x14ac:dyDescent="0.25">
      <c r="A49" t="s">
        <v>6</v>
      </c>
      <c r="B49" s="2">
        <v>1</v>
      </c>
      <c r="C49" s="2">
        <v>1</v>
      </c>
      <c r="D49" s="2">
        <v>1</v>
      </c>
      <c r="E49" s="2">
        <v>1</v>
      </c>
      <c r="F49" s="2"/>
      <c r="G49" s="2"/>
      <c r="H49" s="2"/>
      <c r="I49" s="2"/>
      <c r="J49" s="2"/>
      <c r="K49" s="2"/>
    </row>
    <row r="50" spans="1:61" ht="15" customHeight="1" x14ac:dyDescent="0.25">
      <c r="A50" t="s">
        <v>7</v>
      </c>
      <c r="B50" s="2">
        <v>1</v>
      </c>
      <c r="C50" s="2">
        <v>1</v>
      </c>
      <c r="D50" s="2">
        <v>1</v>
      </c>
      <c r="E50" s="2">
        <v>1</v>
      </c>
      <c r="F50" s="2"/>
      <c r="G50" s="2"/>
      <c r="H50" s="2"/>
      <c r="I50" s="2"/>
      <c r="J50" s="2"/>
      <c r="K50" s="2"/>
    </row>
    <row r="51" spans="1:61" ht="15" customHeight="1" x14ac:dyDescent="0.25">
      <c r="A51" s="1" t="s">
        <v>8</v>
      </c>
      <c r="B51" s="2">
        <v>1</v>
      </c>
      <c r="C51" s="2">
        <v>1</v>
      </c>
      <c r="D51" s="2">
        <v>1</v>
      </c>
      <c r="E51" s="2">
        <v>1</v>
      </c>
      <c r="F51" s="2"/>
      <c r="G51" s="2"/>
      <c r="H51" s="2"/>
      <c r="I51" s="2"/>
      <c r="J51" s="2"/>
      <c r="K51" s="2"/>
    </row>
    <row r="52" spans="1:61" ht="15" customHeight="1" x14ac:dyDescent="0.25">
      <c r="A52" t="s">
        <v>9</v>
      </c>
      <c r="B52" s="2">
        <v>0.5</v>
      </c>
      <c r="C52" s="2">
        <v>1</v>
      </c>
      <c r="D52" s="2">
        <v>1</v>
      </c>
      <c r="E52" s="2">
        <v>1</v>
      </c>
    </row>
    <row r="53" spans="1:61" ht="15" customHeight="1" x14ac:dyDescent="0.25">
      <c r="A53" t="s">
        <v>10</v>
      </c>
      <c r="B53" s="2">
        <v>1</v>
      </c>
      <c r="C53" s="2">
        <v>1</v>
      </c>
      <c r="D53" s="2">
        <v>1</v>
      </c>
      <c r="E53" s="2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15" customHeight="1" x14ac:dyDescent="0.25">
      <c r="A54" t="s">
        <v>11</v>
      </c>
      <c r="B54" s="2">
        <v>1</v>
      </c>
      <c r="C54" s="2">
        <v>1</v>
      </c>
      <c r="D54" s="2">
        <v>1</v>
      </c>
      <c r="E54" s="2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ht="15" customHeight="1" x14ac:dyDescent="0.25">
      <c r="A55" t="s">
        <v>12</v>
      </c>
      <c r="B55" s="2">
        <v>1</v>
      </c>
      <c r="C55" s="2">
        <v>1</v>
      </c>
      <c r="D55" s="2">
        <v>1</v>
      </c>
      <c r="E55" s="2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ht="15" customHeight="1" x14ac:dyDescent="0.25">
      <c r="A56" t="s">
        <v>13</v>
      </c>
      <c r="B56" s="2">
        <v>1</v>
      </c>
      <c r="C56" s="2">
        <v>1</v>
      </c>
      <c r="D56" s="2">
        <v>1</v>
      </c>
      <c r="E56" s="2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ht="1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ht="1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ht="15" customHeight="1" x14ac:dyDescent="0.25">
      <c r="A59" s="4" t="s">
        <v>17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ht="15" customHeight="1" x14ac:dyDescent="0.25">
      <c r="A60" t="s">
        <v>16</v>
      </c>
      <c r="B60" s="2">
        <v>1</v>
      </c>
      <c r="C60" s="2">
        <v>1</v>
      </c>
      <c r="D60" s="2">
        <v>2</v>
      </c>
      <c r="E60" s="2">
        <v>2</v>
      </c>
      <c r="F60" s="2">
        <v>3</v>
      </c>
      <c r="G60" s="2">
        <v>3</v>
      </c>
      <c r="H60" s="2">
        <v>4</v>
      </c>
      <c r="I60" s="2">
        <v>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ht="15" customHeight="1" x14ac:dyDescent="0.25">
      <c r="A61" t="s">
        <v>6</v>
      </c>
      <c r="B61" s="2" t="b">
        <v>1</v>
      </c>
      <c r="C61" s="2" t="b">
        <v>1</v>
      </c>
      <c r="D61" s="2" t="b">
        <v>1</v>
      </c>
      <c r="E61" s="2" t="b">
        <v>1</v>
      </c>
      <c r="F61" s="2" t="b">
        <v>1</v>
      </c>
      <c r="G61" s="2" t="b">
        <v>1</v>
      </c>
      <c r="H61" s="2" t="b">
        <v>1</v>
      </c>
      <c r="I61" s="2" t="b">
        <v>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A62" t="s">
        <v>7</v>
      </c>
      <c r="B62" s="2" t="b">
        <v>1</v>
      </c>
      <c r="C62" s="2" t="b">
        <v>1</v>
      </c>
      <c r="D62" s="2" t="b">
        <v>1</v>
      </c>
      <c r="E62" s="2" t="b">
        <v>1</v>
      </c>
      <c r="F62" s="2" t="b">
        <v>1</v>
      </c>
      <c r="G62" s="2" t="b">
        <v>1</v>
      </c>
      <c r="H62" s="2" t="b">
        <v>1</v>
      </c>
      <c r="I62" s="2" t="b">
        <v>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A63" t="s">
        <v>8</v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1</v>
      </c>
      <c r="I63" s="2" t="b">
        <v>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A64" t="s">
        <v>9</v>
      </c>
      <c r="B64" s="2" t="b">
        <v>0</v>
      </c>
      <c r="C64" s="2" t="b">
        <v>1</v>
      </c>
      <c r="D64" s="2" t="b">
        <v>1</v>
      </c>
      <c r="E64" s="2" t="b">
        <v>1</v>
      </c>
      <c r="F64" s="2" t="b">
        <v>1</v>
      </c>
      <c r="G64" s="2" t="b">
        <v>1</v>
      </c>
      <c r="H64" s="2" t="b">
        <v>1</v>
      </c>
      <c r="I64" s="2" t="b">
        <v>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5" customHeight="1" x14ac:dyDescent="0.25">
      <c r="A65" t="s">
        <v>10</v>
      </c>
      <c r="B65" s="2" t="b">
        <v>1</v>
      </c>
      <c r="C65" s="2" t="b">
        <v>1</v>
      </c>
      <c r="D65" s="2" t="b">
        <v>1</v>
      </c>
      <c r="E65" s="2" t="b">
        <v>1</v>
      </c>
      <c r="F65" s="2" t="b">
        <v>1</v>
      </c>
      <c r="G65" s="2" t="b">
        <v>1</v>
      </c>
      <c r="H65" s="2" t="b">
        <v>1</v>
      </c>
      <c r="I65" s="2" t="b">
        <v>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5" customHeight="1" x14ac:dyDescent="0.25">
      <c r="A66" t="s">
        <v>11</v>
      </c>
      <c r="B66" s="2" t="b">
        <v>1</v>
      </c>
      <c r="C66" s="2" t="b">
        <v>1</v>
      </c>
      <c r="D66" s="2" t="b">
        <v>1</v>
      </c>
      <c r="E66" s="2" t="b">
        <v>1</v>
      </c>
      <c r="F66" s="2" t="b">
        <v>1</v>
      </c>
      <c r="G66" s="2" t="b">
        <v>1</v>
      </c>
      <c r="H66" s="2" t="b">
        <v>1</v>
      </c>
      <c r="I66" s="2" t="b">
        <v>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5" customHeight="1" x14ac:dyDescent="0.25">
      <c r="A67" t="s">
        <v>12</v>
      </c>
      <c r="B67" s="2" t="b">
        <v>1</v>
      </c>
      <c r="C67" s="2" t="b">
        <v>1</v>
      </c>
      <c r="D67" s="2" t="b">
        <v>1</v>
      </c>
      <c r="E67" s="2" t="b">
        <v>1</v>
      </c>
      <c r="F67" s="2" t="b">
        <v>1</v>
      </c>
      <c r="G67" s="2" t="b">
        <v>1</v>
      </c>
      <c r="H67" s="2" t="b">
        <v>1</v>
      </c>
      <c r="I67" s="2" t="b">
        <v>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5" customHeight="1" x14ac:dyDescent="0.25">
      <c r="A68" t="s">
        <v>13</v>
      </c>
      <c r="B68" s="2" t="b">
        <v>1</v>
      </c>
      <c r="C68" s="2" t="b">
        <v>1</v>
      </c>
      <c r="D68" s="2" t="b">
        <v>1</v>
      </c>
      <c r="E68" s="2" t="b">
        <v>1</v>
      </c>
      <c r="F68" s="2" t="b">
        <v>1</v>
      </c>
      <c r="G68" s="2" t="b">
        <v>1</v>
      </c>
      <c r="H68" s="2" t="b">
        <v>1</v>
      </c>
      <c r="I68" s="2" t="b">
        <v>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" width="20" customWidth="1"/>
    <col min="7" max="7" width="19" customWidth="1"/>
    <col min="8" max="9" width="20" customWidth="1"/>
    <col min="10" max="21" width="19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504009.28333333333</v>
      </c>
      <c r="D2">
        <v>499489.76666666672</v>
      </c>
      <c r="E2">
        <v>508528.8</v>
      </c>
      <c r="F2">
        <v>4519.5166666666628</v>
      </c>
    </row>
    <row r="3" spans="1:6" x14ac:dyDescent="0.25">
      <c r="A3" t="s">
        <v>6</v>
      </c>
      <c r="B3">
        <v>2</v>
      </c>
      <c r="C3">
        <v>1120269.7666666671</v>
      </c>
      <c r="D3">
        <v>1104886.6000000001</v>
      </c>
      <c r="E3">
        <v>1135652.9333333331</v>
      </c>
      <c r="F3">
        <v>15383.16666666663</v>
      </c>
    </row>
    <row r="4" spans="1:6" x14ac:dyDescent="0.25">
      <c r="A4" t="s">
        <v>6</v>
      </c>
      <c r="B4">
        <v>3</v>
      </c>
      <c r="C4">
        <v>12055898.1</v>
      </c>
      <c r="D4">
        <v>11981085.300000001</v>
      </c>
      <c r="E4">
        <v>12130710.9</v>
      </c>
      <c r="F4">
        <v>74812.799999999814</v>
      </c>
    </row>
    <row r="5" spans="1:6" x14ac:dyDescent="0.25">
      <c r="A5" t="s">
        <v>6</v>
      </c>
      <c r="B5">
        <v>4</v>
      </c>
      <c r="C5">
        <v>207224777.23333329</v>
      </c>
      <c r="D5">
        <v>205980170.76666671</v>
      </c>
      <c r="E5">
        <v>208469383.69999999</v>
      </c>
      <c r="F5">
        <v>1244606.466666654</v>
      </c>
    </row>
    <row r="6" spans="1:6" x14ac:dyDescent="0.25">
      <c r="A6" t="s">
        <v>7</v>
      </c>
      <c r="B6">
        <v>1</v>
      </c>
      <c r="C6">
        <v>340068.98333333328</v>
      </c>
      <c r="D6">
        <v>338219.36666666658</v>
      </c>
      <c r="E6">
        <v>341918.6</v>
      </c>
      <c r="F6">
        <v>1849.6166666666691</v>
      </c>
    </row>
    <row r="7" spans="1:6" x14ac:dyDescent="0.25">
      <c r="A7" t="s">
        <v>7</v>
      </c>
      <c r="B7">
        <v>2</v>
      </c>
      <c r="C7">
        <v>741918.1333333333</v>
      </c>
      <c r="D7">
        <v>738341.06666666665</v>
      </c>
      <c r="E7">
        <v>745495.2</v>
      </c>
      <c r="F7">
        <v>3577.0666666666511</v>
      </c>
    </row>
    <row r="8" spans="1:6" x14ac:dyDescent="0.25">
      <c r="A8" t="s">
        <v>7</v>
      </c>
      <c r="B8">
        <v>3</v>
      </c>
      <c r="C8">
        <v>8070633.166666667</v>
      </c>
      <c r="D8">
        <v>7971302.666666667</v>
      </c>
      <c r="E8">
        <v>8169963.666666667</v>
      </c>
      <c r="F8">
        <v>99330.5</v>
      </c>
    </row>
    <row r="9" spans="1:6" x14ac:dyDescent="0.25">
      <c r="A9" t="s">
        <v>7</v>
      </c>
      <c r="B9">
        <v>4</v>
      </c>
      <c r="C9">
        <v>137537880.9666667</v>
      </c>
      <c r="D9">
        <v>136884322.06666669</v>
      </c>
      <c r="E9">
        <v>138191439.8666667</v>
      </c>
      <c r="F9">
        <v>653558.90000000596</v>
      </c>
    </row>
    <row r="10" spans="1:6" x14ac:dyDescent="0.25">
      <c r="A10" t="s">
        <v>8</v>
      </c>
      <c r="B10">
        <v>1</v>
      </c>
      <c r="C10">
        <v>335816.53333333333</v>
      </c>
      <c r="D10">
        <v>335816.53333333333</v>
      </c>
      <c r="E10">
        <v>335816.53333333333</v>
      </c>
      <c r="F10">
        <v>0</v>
      </c>
    </row>
    <row r="11" spans="1:6" x14ac:dyDescent="0.25">
      <c r="A11" t="s">
        <v>8</v>
      </c>
      <c r="B11">
        <v>2</v>
      </c>
      <c r="C11">
        <v>739067.33333333337</v>
      </c>
      <c r="D11">
        <v>739067.33333333337</v>
      </c>
      <c r="E11">
        <v>739067.33333333337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8070557.2666666666</v>
      </c>
      <c r="D12">
        <v>8070557.2666666666</v>
      </c>
      <c r="E12">
        <v>8070557.2666666666</v>
      </c>
      <c r="F12">
        <v>0</v>
      </c>
    </row>
    <row r="13" spans="1:6" x14ac:dyDescent="0.25">
      <c r="A13" t="s">
        <v>8</v>
      </c>
      <c r="B13">
        <v>4</v>
      </c>
      <c r="C13">
        <v>136911781.1333333</v>
      </c>
      <c r="D13">
        <v>136911781.1333333</v>
      </c>
      <c r="E13">
        <v>136911781.1333333</v>
      </c>
      <c r="F13">
        <v>0</v>
      </c>
    </row>
    <row r="14" spans="1:6" x14ac:dyDescent="0.25">
      <c r="A14" t="s">
        <v>9</v>
      </c>
      <c r="B14">
        <v>1</v>
      </c>
      <c r="C14">
        <v>338926.81666666671</v>
      </c>
      <c r="D14">
        <v>337250.23333333328</v>
      </c>
      <c r="E14">
        <v>340603.4</v>
      </c>
      <c r="F14">
        <v>1676.583333333343</v>
      </c>
    </row>
    <row r="15" spans="1:6" x14ac:dyDescent="0.25">
      <c r="A15" t="s">
        <v>9</v>
      </c>
      <c r="B15">
        <v>2</v>
      </c>
      <c r="C15">
        <v>739659.96666666667</v>
      </c>
      <c r="D15">
        <v>739357.26666666672</v>
      </c>
      <c r="E15">
        <v>739962.66666666663</v>
      </c>
      <c r="F15">
        <v>302.69999999995338</v>
      </c>
    </row>
    <row r="16" spans="1:6" x14ac:dyDescent="0.25">
      <c r="A16" t="s">
        <v>9</v>
      </c>
      <c r="B16">
        <v>3</v>
      </c>
      <c r="C16">
        <v>8067686.7666666666</v>
      </c>
      <c r="D16">
        <v>7990499.7333333334</v>
      </c>
      <c r="E16">
        <v>8144873.7999999998</v>
      </c>
      <c r="F16">
        <v>77187.033333333209</v>
      </c>
    </row>
    <row r="17" spans="1:6" x14ac:dyDescent="0.25">
      <c r="A17" t="s">
        <v>9</v>
      </c>
      <c r="B17">
        <v>4</v>
      </c>
      <c r="C17">
        <v>136586958.53333339</v>
      </c>
      <c r="D17">
        <v>135618726.80000001</v>
      </c>
      <c r="E17">
        <v>137555190.26666671</v>
      </c>
      <c r="F17">
        <v>968231.73333333433</v>
      </c>
    </row>
    <row r="18" spans="1:6" x14ac:dyDescent="0.25">
      <c r="A18" t="s">
        <v>10</v>
      </c>
      <c r="B18">
        <v>1</v>
      </c>
      <c r="C18">
        <v>336386.95</v>
      </c>
      <c r="D18">
        <v>334275.90000000002</v>
      </c>
      <c r="E18">
        <v>338498</v>
      </c>
      <c r="F18">
        <v>2111.0499999999879</v>
      </c>
    </row>
    <row r="19" spans="1:6" x14ac:dyDescent="0.25">
      <c r="A19" t="s">
        <v>10</v>
      </c>
      <c r="B19">
        <v>2</v>
      </c>
      <c r="C19">
        <v>743059.58333333326</v>
      </c>
      <c r="D19">
        <v>739134.7</v>
      </c>
      <c r="E19">
        <v>746984.46666666667</v>
      </c>
      <c r="F19">
        <v>3924.88333333336</v>
      </c>
    </row>
    <row r="20" spans="1:6" ht="15" customHeight="1" x14ac:dyDescent="0.25">
      <c r="A20" s="1" t="s">
        <v>10</v>
      </c>
      <c r="B20">
        <v>3</v>
      </c>
      <c r="C20">
        <v>8049212.0333333332</v>
      </c>
      <c r="D20">
        <v>8003748.666666667</v>
      </c>
      <c r="E20">
        <v>8094675.4000000004</v>
      </c>
      <c r="F20">
        <v>45463.366666666698</v>
      </c>
    </row>
    <row r="21" spans="1:6" x14ac:dyDescent="0.25">
      <c r="A21" t="s">
        <v>10</v>
      </c>
      <c r="B21">
        <v>4</v>
      </c>
      <c r="C21">
        <v>137507598.90000001</v>
      </c>
      <c r="D21">
        <v>136479165.1333333</v>
      </c>
      <c r="E21">
        <v>138536032.66666669</v>
      </c>
      <c r="F21">
        <v>1028433.766666666</v>
      </c>
    </row>
    <row r="22" spans="1:6" x14ac:dyDescent="0.25">
      <c r="A22" t="s">
        <v>11</v>
      </c>
      <c r="B22">
        <v>1</v>
      </c>
      <c r="C22">
        <v>336047.65</v>
      </c>
      <c r="D22">
        <v>335908.86666666658</v>
      </c>
      <c r="E22">
        <v>336186.43333333329</v>
      </c>
      <c r="F22">
        <v>138.7833333333547</v>
      </c>
    </row>
    <row r="23" spans="1:6" ht="15" customHeight="1" x14ac:dyDescent="0.25">
      <c r="A23" s="1" t="s">
        <v>11</v>
      </c>
      <c r="B23">
        <v>2</v>
      </c>
      <c r="C23">
        <v>742679.4</v>
      </c>
      <c r="D23">
        <v>735460.03333333333</v>
      </c>
      <c r="E23">
        <v>749898.76666666672</v>
      </c>
      <c r="F23">
        <v>7219.3666666666977</v>
      </c>
    </row>
    <row r="24" spans="1:6" x14ac:dyDescent="0.25">
      <c r="A24" t="s">
        <v>11</v>
      </c>
      <c r="B24">
        <v>3</v>
      </c>
      <c r="C24">
        <v>8090518.5</v>
      </c>
      <c r="D24">
        <v>8056810.4666666668</v>
      </c>
      <c r="E24">
        <v>8124226.5333333332</v>
      </c>
      <c r="F24">
        <v>33708.033333333209</v>
      </c>
    </row>
    <row r="25" spans="1:6" x14ac:dyDescent="0.25">
      <c r="A25" t="s">
        <v>11</v>
      </c>
      <c r="B25">
        <v>4</v>
      </c>
      <c r="C25">
        <v>137184127.8666667</v>
      </c>
      <c r="D25">
        <v>135540093.33333331</v>
      </c>
      <c r="E25">
        <v>138828162.40000001</v>
      </c>
      <c r="F25">
        <v>1644034.5333333311</v>
      </c>
    </row>
    <row r="26" spans="1:6" x14ac:dyDescent="0.25">
      <c r="A26" t="s">
        <v>12</v>
      </c>
      <c r="B26">
        <v>1</v>
      </c>
      <c r="C26">
        <v>336889.96666666667</v>
      </c>
      <c r="D26">
        <v>336675</v>
      </c>
      <c r="E26">
        <v>337104.93333333329</v>
      </c>
      <c r="F26">
        <v>214.9666666666744</v>
      </c>
    </row>
    <row r="27" spans="1:6" x14ac:dyDescent="0.25">
      <c r="A27" t="s">
        <v>12</v>
      </c>
      <c r="B27">
        <v>2</v>
      </c>
      <c r="C27">
        <v>746286.25</v>
      </c>
      <c r="D27">
        <v>744263</v>
      </c>
      <c r="E27">
        <v>748309.5</v>
      </c>
      <c r="F27">
        <v>2023.25</v>
      </c>
    </row>
    <row r="28" spans="1:6" ht="15" customHeight="1" x14ac:dyDescent="0.25">
      <c r="A28" s="1" t="s">
        <v>12</v>
      </c>
      <c r="B28">
        <v>3</v>
      </c>
      <c r="C28">
        <v>8127059.166666666</v>
      </c>
      <c r="D28">
        <v>8095783.5999999996</v>
      </c>
      <c r="E28">
        <v>8158334.7333333334</v>
      </c>
      <c r="F28">
        <v>31275.56666666688</v>
      </c>
    </row>
    <row r="29" spans="1:6" x14ac:dyDescent="0.25">
      <c r="A29" t="s">
        <v>12</v>
      </c>
      <c r="B29">
        <v>4</v>
      </c>
      <c r="C29">
        <v>138121065.06666669</v>
      </c>
      <c r="D29">
        <v>137553425.26666671</v>
      </c>
      <c r="E29">
        <v>138688704.8666667</v>
      </c>
      <c r="F29">
        <v>567639.79999999702</v>
      </c>
    </row>
    <row r="30" spans="1:6" x14ac:dyDescent="0.25">
      <c r="A30" t="s">
        <v>13</v>
      </c>
      <c r="B30">
        <v>1</v>
      </c>
      <c r="C30">
        <v>334293.09999999998</v>
      </c>
      <c r="D30">
        <v>333640.7</v>
      </c>
      <c r="E30">
        <v>334945.5</v>
      </c>
      <c r="F30">
        <v>652.39999999999418</v>
      </c>
    </row>
    <row r="31" spans="1:6" ht="15" customHeight="1" x14ac:dyDescent="0.25">
      <c r="A31" s="1" t="s">
        <v>13</v>
      </c>
      <c r="B31">
        <v>2</v>
      </c>
      <c r="C31">
        <v>739417.8</v>
      </c>
      <c r="D31">
        <v>735141.03333333333</v>
      </c>
      <c r="E31">
        <v>743694.56666666665</v>
      </c>
      <c r="F31">
        <v>4276.7666666666628</v>
      </c>
    </row>
    <row r="32" spans="1:6" x14ac:dyDescent="0.25">
      <c r="A32" t="s">
        <v>13</v>
      </c>
      <c r="B32">
        <v>3</v>
      </c>
      <c r="C32">
        <v>8116811.5333333332</v>
      </c>
      <c r="D32">
        <v>8073204.666666667</v>
      </c>
      <c r="E32">
        <v>8160418.4000000004</v>
      </c>
      <c r="F32">
        <v>43606.866666666698</v>
      </c>
    </row>
    <row r="33" spans="1:6" x14ac:dyDescent="0.25">
      <c r="A33" t="s">
        <v>13</v>
      </c>
      <c r="B33">
        <v>4</v>
      </c>
      <c r="C33">
        <v>135772707.33333331</v>
      </c>
      <c r="D33">
        <v>135573272.59999999</v>
      </c>
      <c r="E33">
        <v>135972142.06666669</v>
      </c>
      <c r="F33">
        <v>199434.7333333343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55226238.595833331</v>
      </c>
      <c r="D37">
        <v>499489.76666666672</v>
      </c>
      <c r="E37">
        <v>208469383.69999999</v>
      </c>
      <c r="F37">
        <v>87878847.269428432</v>
      </c>
    </row>
    <row r="38" spans="1:6" x14ac:dyDescent="0.25">
      <c r="A38" t="s">
        <v>7</v>
      </c>
      <c r="C38">
        <v>36672625.3125</v>
      </c>
      <c r="D38">
        <v>338219.36666666658</v>
      </c>
      <c r="E38">
        <v>138191439.8666667</v>
      </c>
      <c r="F38">
        <v>58316766.762866512</v>
      </c>
    </row>
    <row r="39" spans="1:6" ht="15" customHeight="1" x14ac:dyDescent="0.25">
      <c r="A39" s="1" t="s">
        <v>8</v>
      </c>
      <c r="C39">
        <v>36514305.566666663</v>
      </c>
      <c r="D39">
        <v>335816.53333333333</v>
      </c>
      <c r="E39">
        <v>136911781.1333333</v>
      </c>
      <c r="F39">
        <v>58046211.454538442</v>
      </c>
    </row>
    <row r="40" spans="1:6" x14ac:dyDescent="0.25">
      <c r="A40" t="s">
        <v>9</v>
      </c>
      <c r="C40">
        <v>36433308.020833343</v>
      </c>
      <c r="D40">
        <v>337250.23333333328</v>
      </c>
      <c r="E40">
        <v>137555190.26666671</v>
      </c>
      <c r="F40">
        <v>57907569.624944873</v>
      </c>
    </row>
    <row r="41" spans="1:6" x14ac:dyDescent="0.25">
      <c r="A41" t="s">
        <v>10</v>
      </c>
      <c r="C41">
        <v>36659064.366666667</v>
      </c>
      <c r="D41">
        <v>334275.90000000002</v>
      </c>
      <c r="E41">
        <v>138536032.66666669</v>
      </c>
      <c r="F41">
        <v>58308032.519454561</v>
      </c>
    </row>
    <row r="42" spans="1:6" x14ac:dyDescent="0.25">
      <c r="A42" t="s">
        <v>11</v>
      </c>
      <c r="C42">
        <v>36588343.354166672</v>
      </c>
      <c r="D42">
        <v>335908.86666666658</v>
      </c>
      <c r="E42">
        <v>138828162.40000001</v>
      </c>
      <c r="F42">
        <v>58166748.424590267</v>
      </c>
    </row>
    <row r="43" spans="1:6" ht="15" customHeight="1" x14ac:dyDescent="0.25">
      <c r="A43" s="1" t="s">
        <v>12</v>
      </c>
      <c r="C43">
        <v>36832825.112499997</v>
      </c>
      <c r="D43">
        <v>336675</v>
      </c>
      <c r="E43">
        <v>138688704.8666667</v>
      </c>
      <c r="F43">
        <v>58561598.5907932</v>
      </c>
    </row>
    <row r="44" spans="1:6" x14ac:dyDescent="0.25">
      <c r="A44" t="s">
        <v>13</v>
      </c>
      <c r="C44">
        <v>36240807.441666663</v>
      </c>
      <c r="D44">
        <v>333640.7</v>
      </c>
      <c r="E44">
        <v>135972142.06666669</v>
      </c>
      <c r="F44">
        <v>57548297.922359303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504009.28333333333</v>
      </c>
      <c r="C49">
        <v>1120269.7666666671</v>
      </c>
      <c r="D49">
        <v>12055898.1</v>
      </c>
      <c r="E49">
        <v>207224777.23333329</v>
      </c>
    </row>
    <row r="50" spans="1:9" x14ac:dyDescent="0.25">
      <c r="A50" t="s">
        <v>7</v>
      </c>
      <c r="B50">
        <v>340068.98333333328</v>
      </c>
      <c r="C50">
        <v>741918.1333333333</v>
      </c>
      <c r="D50">
        <v>8070633.166666667</v>
      </c>
      <c r="E50">
        <v>137537880.9666667</v>
      </c>
    </row>
    <row r="51" spans="1:9" ht="15" customHeight="1" x14ac:dyDescent="0.25">
      <c r="A51" s="1" t="s">
        <v>8</v>
      </c>
      <c r="B51">
        <v>335816.53333333333</v>
      </c>
      <c r="C51">
        <v>739067.33333333337</v>
      </c>
      <c r="D51">
        <v>8070557.2666666666</v>
      </c>
      <c r="E51">
        <v>136911781.1333333</v>
      </c>
    </row>
    <row r="52" spans="1:9" x14ac:dyDescent="0.25">
      <c r="A52" t="s">
        <v>9</v>
      </c>
      <c r="B52">
        <v>338926.81666666671</v>
      </c>
      <c r="C52">
        <v>739659.96666666667</v>
      </c>
      <c r="D52">
        <v>8067686.7666666666</v>
      </c>
      <c r="E52">
        <v>136586958.53333339</v>
      </c>
    </row>
    <row r="53" spans="1:9" x14ac:dyDescent="0.25">
      <c r="A53" t="s">
        <v>10</v>
      </c>
      <c r="B53">
        <v>336386.95</v>
      </c>
      <c r="C53">
        <v>743059.58333333326</v>
      </c>
      <c r="D53">
        <v>8049212.0333333332</v>
      </c>
      <c r="E53">
        <v>137507598.90000001</v>
      </c>
    </row>
    <row r="54" spans="1:9" x14ac:dyDescent="0.25">
      <c r="A54" t="s">
        <v>11</v>
      </c>
      <c r="B54">
        <v>336047.65</v>
      </c>
      <c r="C54">
        <v>742679.4</v>
      </c>
      <c r="D54">
        <v>8090518.5</v>
      </c>
      <c r="E54">
        <v>137184127.8666667</v>
      </c>
    </row>
    <row r="55" spans="1:9" x14ac:dyDescent="0.25">
      <c r="A55" t="s">
        <v>12</v>
      </c>
      <c r="B55">
        <v>336889.96666666667</v>
      </c>
      <c r="C55">
        <v>746286.25</v>
      </c>
      <c r="D55">
        <v>8127059.166666666</v>
      </c>
      <c r="E55">
        <v>138121065.06666669</v>
      </c>
    </row>
    <row r="56" spans="1:9" x14ac:dyDescent="0.25">
      <c r="A56" t="s">
        <v>13</v>
      </c>
      <c r="B56">
        <v>334293.09999999998</v>
      </c>
      <c r="C56">
        <v>739417.8</v>
      </c>
      <c r="D56">
        <v>8116811.5333333332</v>
      </c>
      <c r="E56">
        <v>135772707.33333331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499489.76666666672</v>
      </c>
      <c r="C61">
        <v>508528.8</v>
      </c>
      <c r="D61">
        <v>1104886.6000000001</v>
      </c>
      <c r="E61">
        <v>1135652.9333333331</v>
      </c>
      <c r="F61">
        <v>12130710.9</v>
      </c>
      <c r="G61">
        <v>11981085.300000001</v>
      </c>
      <c r="H61">
        <v>205980170.76666671</v>
      </c>
      <c r="I61">
        <v>208469383.69999999</v>
      </c>
    </row>
    <row r="62" spans="1:9" x14ac:dyDescent="0.25">
      <c r="A62" t="s">
        <v>7</v>
      </c>
      <c r="B62">
        <v>341918.6</v>
      </c>
      <c r="C62">
        <v>338219.36666666658</v>
      </c>
      <c r="D62">
        <v>738341.06666666665</v>
      </c>
      <c r="E62">
        <v>745495.2</v>
      </c>
      <c r="F62">
        <v>8169963.666666667</v>
      </c>
      <c r="G62">
        <v>7971302.666666667</v>
      </c>
      <c r="H62">
        <v>138191439.8666667</v>
      </c>
      <c r="I62">
        <v>136884322.06666669</v>
      </c>
    </row>
    <row r="63" spans="1:9" x14ac:dyDescent="0.25">
      <c r="A63" t="s">
        <v>8</v>
      </c>
      <c r="B63">
        <v>335816.53333333333</v>
      </c>
      <c r="C63">
        <v>335816.53333333333</v>
      </c>
      <c r="D63">
        <v>739067.33333333337</v>
      </c>
      <c r="E63">
        <v>739067.33333333337</v>
      </c>
      <c r="F63">
        <v>8070557.2666666666</v>
      </c>
      <c r="G63">
        <v>8070557.2666666666</v>
      </c>
      <c r="H63">
        <v>136911781.1333333</v>
      </c>
      <c r="I63">
        <v>136911781.1333333</v>
      </c>
    </row>
    <row r="64" spans="1:9" x14ac:dyDescent="0.25">
      <c r="A64" t="s">
        <v>9</v>
      </c>
      <c r="B64">
        <v>340603.4</v>
      </c>
      <c r="C64">
        <v>337250.23333333328</v>
      </c>
      <c r="D64">
        <v>739962.66666666663</v>
      </c>
      <c r="E64">
        <v>739357.26666666672</v>
      </c>
      <c r="F64">
        <v>8144873.7999999998</v>
      </c>
      <c r="G64">
        <v>7990499.7333333334</v>
      </c>
      <c r="H64">
        <v>137555190.26666671</v>
      </c>
      <c r="I64">
        <v>135618726.80000001</v>
      </c>
    </row>
    <row r="65" spans="1:9" x14ac:dyDescent="0.25">
      <c r="A65" t="s">
        <v>10</v>
      </c>
      <c r="B65">
        <v>334275.90000000002</v>
      </c>
      <c r="C65">
        <v>338498</v>
      </c>
      <c r="D65">
        <v>746984.46666666667</v>
      </c>
      <c r="E65">
        <v>739134.7</v>
      </c>
      <c r="F65">
        <v>8003748.666666667</v>
      </c>
      <c r="G65">
        <v>8094675.4000000004</v>
      </c>
      <c r="H65">
        <v>138536032.66666669</v>
      </c>
      <c r="I65">
        <v>136479165.1333333</v>
      </c>
    </row>
    <row r="66" spans="1:9" x14ac:dyDescent="0.25">
      <c r="A66" t="s">
        <v>11</v>
      </c>
      <c r="B66">
        <v>335908.86666666658</v>
      </c>
      <c r="C66">
        <v>336186.43333333329</v>
      </c>
      <c r="D66">
        <v>749898.76666666672</v>
      </c>
      <c r="E66">
        <v>735460.03333333333</v>
      </c>
      <c r="F66">
        <v>8056810.4666666668</v>
      </c>
      <c r="G66">
        <v>8124226.5333333332</v>
      </c>
      <c r="H66">
        <v>138828162.40000001</v>
      </c>
      <c r="I66">
        <v>135540093.33333331</v>
      </c>
    </row>
    <row r="67" spans="1:9" x14ac:dyDescent="0.25">
      <c r="A67" t="s">
        <v>12</v>
      </c>
      <c r="B67">
        <v>336675</v>
      </c>
      <c r="C67">
        <v>337104.93333333329</v>
      </c>
      <c r="D67">
        <v>748309.5</v>
      </c>
      <c r="E67">
        <v>744263</v>
      </c>
      <c r="F67">
        <v>8158334.7333333334</v>
      </c>
      <c r="G67">
        <v>8095783.5999999996</v>
      </c>
      <c r="H67">
        <v>137553425.26666671</v>
      </c>
      <c r="I67">
        <v>138688704.8666667</v>
      </c>
    </row>
    <row r="68" spans="1:9" x14ac:dyDescent="0.25">
      <c r="A68" t="s">
        <v>13</v>
      </c>
      <c r="B68">
        <v>333640.7</v>
      </c>
      <c r="C68">
        <v>334945.5</v>
      </c>
      <c r="D68">
        <v>735141.03333333333</v>
      </c>
      <c r="E68">
        <v>743694.56666666665</v>
      </c>
      <c r="F68">
        <v>8160418.4000000004</v>
      </c>
      <c r="G68">
        <v>8073204.666666667</v>
      </c>
      <c r="H68">
        <v>135972142.06666669</v>
      </c>
      <c r="I68">
        <v>135573272.59999999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14" customWidth="1"/>
    <col min="4" max="5" width="13" customWidth="1"/>
    <col min="6" max="6" width="19" customWidth="1"/>
    <col min="7" max="7" width="12" customWidth="1"/>
    <col min="8" max="9" width="13" customWidth="1"/>
    <col min="10" max="20" width="12" customWidth="1"/>
    <col min="21" max="21" width="9" customWidth="1"/>
    <col min="22" max="46" width="10" customWidth="1"/>
    <col min="47" max="47" width="11" customWidth="1"/>
    <col min="48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548126</v>
      </c>
      <c r="D2">
        <v>525285</v>
      </c>
      <c r="E2">
        <v>570967</v>
      </c>
      <c r="F2">
        <v>22841</v>
      </c>
    </row>
    <row r="3" spans="1:6" x14ac:dyDescent="0.25">
      <c r="A3" t="s">
        <v>6</v>
      </c>
      <c r="B3">
        <v>2</v>
      </c>
      <c r="C3">
        <v>1116089.5</v>
      </c>
      <c r="D3">
        <v>931510</v>
      </c>
      <c r="E3">
        <v>1300669</v>
      </c>
      <c r="F3">
        <v>184579.5</v>
      </c>
    </row>
    <row r="4" spans="1:6" x14ac:dyDescent="0.25">
      <c r="A4" t="s">
        <v>6</v>
      </c>
      <c r="B4">
        <v>3</v>
      </c>
      <c r="C4">
        <v>12360382.5</v>
      </c>
      <c r="D4">
        <v>11280765</v>
      </c>
      <c r="E4">
        <v>13440000</v>
      </c>
      <c r="F4">
        <v>1079617.5</v>
      </c>
    </row>
    <row r="5" spans="1:6" x14ac:dyDescent="0.25">
      <c r="A5" t="s">
        <v>6</v>
      </c>
      <c r="B5">
        <v>4</v>
      </c>
      <c r="C5">
        <v>306710255.5</v>
      </c>
      <c r="D5">
        <v>209309004</v>
      </c>
      <c r="E5">
        <v>404111507</v>
      </c>
      <c r="F5">
        <v>97401251.5</v>
      </c>
    </row>
    <row r="6" spans="1:6" x14ac:dyDescent="0.25">
      <c r="A6" t="s">
        <v>7</v>
      </c>
      <c r="B6">
        <v>1</v>
      </c>
      <c r="C6">
        <v>296372.5</v>
      </c>
      <c r="D6">
        <v>264244</v>
      </c>
      <c r="E6">
        <v>328501</v>
      </c>
      <c r="F6">
        <v>32128.5</v>
      </c>
    </row>
    <row r="7" spans="1:6" x14ac:dyDescent="0.25">
      <c r="A7" t="s">
        <v>7</v>
      </c>
      <c r="B7">
        <v>2</v>
      </c>
      <c r="C7">
        <v>771092</v>
      </c>
      <c r="D7">
        <v>750073</v>
      </c>
      <c r="E7">
        <v>792111</v>
      </c>
      <c r="F7">
        <v>21019</v>
      </c>
    </row>
    <row r="8" spans="1:6" x14ac:dyDescent="0.25">
      <c r="A8" t="s">
        <v>7</v>
      </c>
      <c r="B8">
        <v>3</v>
      </c>
      <c r="C8">
        <v>9708465</v>
      </c>
      <c r="D8">
        <v>7092450</v>
      </c>
      <c r="E8">
        <v>12324480</v>
      </c>
      <c r="F8">
        <v>2616015</v>
      </c>
    </row>
    <row r="9" spans="1:6" x14ac:dyDescent="0.25">
      <c r="A9" t="s">
        <v>7</v>
      </c>
      <c r="B9">
        <v>4</v>
      </c>
      <c r="C9">
        <v>169142670</v>
      </c>
      <c r="D9">
        <v>152751880</v>
      </c>
      <c r="E9">
        <v>185533460</v>
      </c>
      <c r="F9">
        <v>16390790</v>
      </c>
    </row>
    <row r="10" spans="1:6" x14ac:dyDescent="0.25">
      <c r="A10" t="s">
        <v>8</v>
      </c>
      <c r="B10">
        <v>1</v>
      </c>
      <c r="C10">
        <v>295327</v>
      </c>
      <c r="D10">
        <v>295327</v>
      </c>
      <c r="E10">
        <v>295327</v>
      </c>
      <c r="F10">
        <v>0</v>
      </c>
    </row>
    <row r="11" spans="1:6" x14ac:dyDescent="0.25">
      <c r="A11" t="s">
        <v>8</v>
      </c>
      <c r="B11">
        <v>2</v>
      </c>
      <c r="C11">
        <v>643450</v>
      </c>
      <c r="D11">
        <v>643450</v>
      </c>
      <c r="E11">
        <v>643450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7008630</v>
      </c>
      <c r="D12">
        <v>7008630</v>
      </c>
      <c r="E12">
        <v>7008630</v>
      </c>
      <c r="F12">
        <v>0</v>
      </c>
    </row>
    <row r="13" spans="1:6" x14ac:dyDescent="0.25">
      <c r="A13" t="s">
        <v>8</v>
      </c>
      <c r="B13">
        <v>4</v>
      </c>
      <c r="C13">
        <v>107724860</v>
      </c>
      <c r="D13">
        <v>107724860</v>
      </c>
      <c r="E13">
        <v>107724860</v>
      </c>
      <c r="F13">
        <v>0</v>
      </c>
    </row>
    <row r="14" spans="1:6" x14ac:dyDescent="0.25">
      <c r="A14" t="s">
        <v>9</v>
      </c>
      <c r="B14">
        <v>1</v>
      </c>
      <c r="C14">
        <v>237509</v>
      </c>
      <c r="D14">
        <v>200450</v>
      </c>
      <c r="E14">
        <v>274568</v>
      </c>
      <c r="F14">
        <v>37059</v>
      </c>
    </row>
    <row r="15" spans="1:6" x14ac:dyDescent="0.25">
      <c r="A15" t="s">
        <v>9</v>
      </c>
      <c r="B15">
        <v>2</v>
      </c>
      <c r="C15">
        <v>725812.5</v>
      </c>
      <c r="D15">
        <v>608205</v>
      </c>
      <c r="E15">
        <v>843420</v>
      </c>
      <c r="F15">
        <v>117607.5</v>
      </c>
    </row>
    <row r="16" spans="1:6" x14ac:dyDescent="0.25">
      <c r="A16" t="s">
        <v>9</v>
      </c>
      <c r="B16">
        <v>3</v>
      </c>
      <c r="C16">
        <v>6645160</v>
      </c>
      <c r="D16">
        <v>5702170</v>
      </c>
      <c r="E16">
        <v>7588150</v>
      </c>
      <c r="F16">
        <v>942990</v>
      </c>
    </row>
    <row r="17" spans="1:6" x14ac:dyDescent="0.25">
      <c r="A17" t="s">
        <v>9</v>
      </c>
      <c r="B17">
        <v>4</v>
      </c>
      <c r="C17">
        <v>106618260</v>
      </c>
      <c r="D17">
        <v>103049620</v>
      </c>
      <c r="E17">
        <v>110186900</v>
      </c>
      <c r="F17">
        <v>3568640</v>
      </c>
    </row>
    <row r="18" spans="1:6" x14ac:dyDescent="0.25">
      <c r="A18" t="s">
        <v>10</v>
      </c>
      <c r="B18">
        <v>1</v>
      </c>
      <c r="C18">
        <v>303247</v>
      </c>
      <c r="D18">
        <v>261566</v>
      </c>
      <c r="E18">
        <v>344928</v>
      </c>
      <c r="F18">
        <v>41681</v>
      </c>
    </row>
    <row r="19" spans="1:6" x14ac:dyDescent="0.25">
      <c r="A19" t="s">
        <v>10</v>
      </c>
      <c r="B19">
        <v>2</v>
      </c>
      <c r="C19">
        <v>579420.5</v>
      </c>
      <c r="D19">
        <v>415261</v>
      </c>
      <c r="E19">
        <v>743580</v>
      </c>
      <c r="F19">
        <v>164159.5</v>
      </c>
    </row>
    <row r="20" spans="1:6" ht="15" customHeight="1" x14ac:dyDescent="0.25">
      <c r="A20" s="1" t="s">
        <v>10</v>
      </c>
      <c r="B20">
        <v>3</v>
      </c>
      <c r="C20">
        <v>8008255</v>
      </c>
      <c r="D20">
        <v>6574300</v>
      </c>
      <c r="E20">
        <v>9442210</v>
      </c>
      <c r="F20">
        <v>1433955</v>
      </c>
    </row>
    <row r="21" spans="1:6" x14ac:dyDescent="0.25">
      <c r="A21" t="s">
        <v>10</v>
      </c>
      <c r="B21">
        <v>4</v>
      </c>
      <c r="C21">
        <v>102620855</v>
      </c>
      <c r="D21">
        <v>80958030</v>
      </c>
      <c r="E21">
        <v>124283680</v>
      </c>
      <c r="F21">
        <v>21662825</v>
      </c>
    </row>
    <row r="22" spans="1:6" x14ac:dyDescent="0.25">
      <c r="A22" t="s">
        <v>11</v>
      </c>
      <c r="B22">
        <v>1</v>
      </c>
      <c r="C22">
        <v>290738</v>
      </c>
      <c r="D22">
        <v>244915</v>
      </c>
      <c r="E22">
        <v>336561</v>
      </c>
      <c r="F22">
        <v>45823</v>
      </c>
    </row>
    <row r="23" spans="1:6" ht="15" customHeight="1" x14ac:dyDescent="0.25">
      <c r="A23" s="1" t="s">
        <v>11</v>
      </c>
      <c r="B23">
        <v>2</v>
      </c>
      <c r="C23">
        <v>606036.5</v>
      </c>
      <c r="D23">
        <v>516750</v>
      </c>
      <c r="E23">
        <v>695323</v>
      </c>
      <c r="F23">
        <v>89286.5</v>
      </c>
    </row>
    <row r="24" spans="1:6" x14ac:dyDescent="0.25">
      <c r="A24" t="s">
        <v>11</v>
      </c>
      <c r="B24">
        <v>3</v>
      </c>
      <c r="C24">
        <v>6888740</v>
      </c>
      <c r="D24">
        <v>6203580</v>
      </c>
      <c r="E24">
        <v>7573900</v>
      </c>
      <c r="F24">
        <v>685160</v>
      </c>
    </row>
    <row r="25" spans="1:6" x14ac:dyDescent="0.25">
      <c r="A25" t="s">
        <v>11</v>
      </c>
      <c r="B25">
        <v>4</v>
      </c>
      <c r="C25">
        <v>141915765</v>
      </c>
      <c r="D25">
        <v>110349220</v>
      </c>
      <c r="E25">
        <v>173482310</v>
      </c>
      <c r="F25">
        <v>31566545</v>
      </c>
    </row>
    <row r="26" spans="1:6" x14ac:dyDescent="0.25">
      <c r="A26" t="s">
        <v>12</v>
      </c>
      <c r="B26">
        <v>1</v>
      </c>
      <c r="C26">
        <v>273604</v>
      </c>
      <c r="D26">
        <v>256783</v>
      </c>
      <c r="E26">
        <v>290425</v>
      </c>
      <c r="F26">
        <v>16821</v>
      </c>
    </row>
    <row r="27" spans="1:6" x14ac:dyDescent="0.25">
      <c r="A27" t="s">
        <v>12</v>
      </c>
      <c r="B27">
        <v>2</v>
      </c>
      <c r="C27">
        <v>449261</v>
      </c>
      <c r="D27">
        <v>401007</v>
      </c>
      <c r="E27">
        <v>497515</v>
      </c>
      <c r="F27">
        <v>48254</v>
      </c>
    </row>
    <row r="28" spans="1:6" ht="15" customHeight="1" x14ac:dyDescent="0.25">
      <c r="A28" s="1" t="s">
        <v>12</v>
      </c>
      <c r="B28">
        <v>3</v>
      </c>
      <c r="C28">
        <v>6197970</v>
      </c>
      <c r="D28">
        <v>5409010</v>
      </c>
      <c r="E28">
        <v>6986930</v>
      </c>
      <c r="F28">
        <v>788960</v>
      </c>
    </row>
    <row r="29" spans="1:6" x14ac:dyDescent="0.25">
      <c r="A29" t="s">
        <v>12</v>
      </c>
      <c r="B29">
        <v>4</v>
      </c>
      <c r="C29">
        <v>88644325</v>
      </c>
      <c r="D29">
        <v>78325170</v>
      </c>
      <c r="E29">
        <v>98963480</v>
      </c>
      <c r="F29">
        <v>10319155</v>
      </c>
    </row>
    <row r="30" spans="1:6" x14ac:dyDescent="0.25">
      <c r="A30" t="s">
        <v>13</v>
      </c>
      <c r="B30">
        <v>1</v>
      </c>
      <c r="C30">
        <v>333908</v>
      </c>
      <c r="D30">
        <v>331930</v>
      </c>
      <c r="E30">
        <v>335886</v>
      </c>
      <c r="F30">
        <v>1978</v>
      </c>
    </row>
    <row r="31" spans="1:6" ht="15" customHeight="1" x14ac:dyDescent="0.25">
      <c r="A31" s="1" t="s">
        <v>13</v>
      </c>
      <c r="B31">
        <v>2</v>
      </c>
      <c r="C31">
        <v>722136.5</v>
      </c>
      <c r="D31">
        <v>686825</v>
      </c>
      <c r="E31">
        <v>757448</v>
      </c>
      <c r="F31">
        <v>35311.5</v>
      </c>
    </row>
    <row r="32" spans="1:6" x14ac:dyDescent="0.25">
      <c r="A32" t="s">
        <v>13</v>
      </c>
      <c r="B32">
        <v>3</v>
      </c>
      <c r="C32">
        <v>6511125</v>
      </c>
      <c r="D32">
        <v>6204730</v>
      </c>
      <c r="E32">
        <v>6817520</v>
      </c>
      <c r="F32">
        <v>306395</v>
      </c>
    </row>
    <row r="33" spans="1:6" x14ac:dyDescent="0.25">
      <c r="A33" t="s">
        <v>13</v>
      </c>
      <c r="B33">
        <v>4</v>
      </c>
      <c r="C33">
        <v>150426915</v>
      </c>
      <c r="D33">
        <v>128622180</v>
      </c>
      <c r="E33">
        <v>172231650</v>
      </c>
      <c r="F33">
        <v>21804735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80183713.375</v>
      </c>
      <c r="D37">
        <v>525285</v>
      </c>
      <c r="E37">
        <v>404111507</v>
      </c>
      <c r="F37">
        <v>139638818.36626279</v>
      </c>
    </row>
    <row r="38" spans="1:6" x14ac:dyDescent="0.25">
      <c r="A38" t="s">
        <v>7</v>
      </c>
      <c r="C38">
        <v>44979649.875</v>
      </c>
      <c r="D38">
        <v>264244</v>
      </c>
      <c r="E38">
        <v>185533460</v>
      </c>
      <c r="F38">
        <v>72261689.228714392</v>
      </c>
    </row>
    <row r="39" spans="1:6" ht="15" customHeight="1" x14ac:dyDescent="0.25">
      <c r="A39" s="1" t="s">
        <v>8</v>
      </c>
      <c r="C39">
        <v>28918066.75</v>
      </c>
      <c r="D39">
        <v>295327</v>
      </c>
      <c r="E39">
        <v>107724860</v>
      </c>
      <c r="F39">
        <v>45577541.7947428</v>
      </c>
    </row>
    <row r="40" spans="1:6" x14ac:dyDescent="0.25">
      <c r="A40" t="s">
        <v>9</v>
      </c>
      <c r="C40">
        <v>28556685.375</v>
      </c>
      <c r="D40">
        <v>200450</v>
      </c>
      <c r="E40">
        <v>110186900</v>
      </c>
      <c r="F40">
        <v>45177143.665850878</v>
      </c>
    </row>
    <row r="41" spans="1:6" x14ac:dyDescent="0.25">
      <c r="A41" t="s">
        <v>10</v>
      </c>
      <c r="C41">
        <v>27877944.375</v>
      </c>
      <c r="D41">
        <v>261566</v>
      </c>
      <c r="E41">
        <v>124283680</v>
      </c>
      <c r="F41">
        <v>44604493.846479058</v>
      </c>
    </row>
    <row r="42" spans="1:6" x14ac:dyDescent="0.25">
      <c r="A42" t="s">
        <v>11</v>
      </c>
      <c r="C42">
        <v>37425319.875</v>
      </c>
      <c r="D42">
        <v>244915</v>
      </c>
      <c r="E42">
        <v>173482310</v>
      </c>
      <c r="F42">
        <v>62414539.394782767</v>
      </c>
    </row>
    <row r="43" spans="1:6" ht="15" customHeight="1" x14ac:dyDescent="0.25">
      <c r="A43" s="1" t="s">
        <v>12</v>
      </c>
      <c r="C43">
        <v>23891290</v>
      </c>
      <c r="D43">
        <v>256783</v>
      </c>
      <c r="E43">
        <v>98963480</v>
      </c>
      <c r="F43">
        <v>37816804.991812982</v>
      </c>
    </row>
    <row r="44" spans="1:6" x14ac:dyDescent="0.25">
      <c r="A44" t="s">
        <v>13</v>
      </c>
      <c r="C44">
        <v>39498521.125</v>
      </c>
      <c r="D44">
        <v>331930</v>
      </c>
      <c r="E44">
        <v>172231650</v>
      </c>
      <c r="F44">
        <v>65012101.553753868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548126</v>
      </c>
      <c r="C49">
        <v>1116089.5</v>
      </c>
      <c r="D49">
        <v>12360382.5</v>
      </c>
      <c r="E49">
        <v>306710255.5</v>
      </c>
    </row>
    <row r="50" spans="1:9" x14ac:dyDescent="0.25">
      <c r="A50" t="s">
        <v>7</v>
      </c>
      <c r="B50">
        <v>296372.5</v>
      </c>
      <c r="C50">
        <v>771092</v>
      </c>
      <c r="D50">
        <v>9708465</v>
      </c>
      <c r="E50">
        <v>169142670</v>
      </c>
    </row>
    <row r="51" spans="1:9" ht="15" customHeight="1" x14ac:dyDescent="0.25">
      <c r="A51" s="1" t="s">
        <v>8</v>
      </c>
      <c r="B51">
        <v>295327</v>
      </c>
      <c r="C51">
        <v>643450</v>
      </c>
      <c r="D51">
        <v>7008630</v>
      </c>
      <c r="E51">
        <v>107724860</v>
      </c>
    </row>
    <row r="52" spans="1:9" x14ac:dyDescent="0.25">
      <c r="A52" t="s">
        <v>9</v>
      </c>
      <c r="B52">
        <v>237509</v>
      </c>
      <c r="C52">
        <v>725812.5</v>
      </c>
      <c r="D52">
        <v>6645160</v>
      </c>
      <c r="E52">
        <v>106618260</v>
      </c>
    </row>
    <row r="53" spans="1:9" x14ac:dyDescent="0.25">
      <c r="A53" t="s">
        <v>10</v>
      </c>
      <c r="B53">
        <v>303247</v>
      </c>
      <c r="C53">
        <v>579420.5</v>
      </c>
      <c r="D53">
        <v>8008255</v>
      </c>
      <c r="E53">
        <v>102620855</v>
      </c>
    </row>
    <row r="54" spans="1:9" x14ac:dyDescent="0.25">
      <c r="A54" t="s">
        <v>11</v>
      </c>
      <c r="B54">
        <v>290738</v>
      </c>
      <c r="C54">
        <v>606036.5</v>
      </c>
      <c r="D54">
        <v>6888740</v>
      </c>
      <c r="E54">
        <v>141915765</v>
      </c>
    </row>
    <row r="55" spans="1:9" x14ac:dyDescent="0.25">
      <c r="A55" t="s">
        <v>12</v>
      </c>
      <c r="B55">
        <v>273604</v>
      </c>
      <c r="C55">
        <v>449261</v>
      </c>
      <c r="D55">
        <v>6197970</v>
      </c>
      <c r="E55">
        <v>88644325</v>
      </c>
    </row>
    <row r="56" spans="1:9" x14ac:dyDescent="0.25">
      <c r="A56" t="s">
        <v>13</v>
      </c>
      <c r="B56">
        <v>333908</v>
      </c>
      <c r="C56">
        <v>722136.5</v>
      </c>
      <c r="D56">
        <v>6511125</v>
      </c>
      <c r="E56">
        <v>150426915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570967</v>
      </c>
      <c r="C61">
        <v>525285</v>
      </c>
      <c r="D61">
        <v>1300669</v>
      </c>
      <c r="E61">
        <v>931510</v>
      </c>
      <c r="F61">
        <v>13440000</v>
      </c>
      <c r="G61">
        <v>11280765</v>
      </c>
      <c r="H61">
        <v>209309004</v>
      </c>
      <c r="I61">
        <v>404111507</v>
      </c>
    </row>
    <row r="62" spans="1:9" x14ac:dyDescent="0.25">
      <c r="A62" t="s">
        <v>7</v>
      </c>
      <c r="B62">
        <v>264244</v>
      </c>
      <c r="C62">
        <v>328501</v>
      </c>
      <c r="D62">
        <v>792111</v>
      </c>
      <c r="E62">
        <v>750073</v>
      </c>
      <c r="F62">
        <v>7092450</v>
      </c>
      <c r="G62">
        <v>12324480</v>
      </c>
      <c r="H62">
        <v>152751880</v>
      </c>
      <c r="I62">
        <v>185533460</v>
      </c>
    </row>
    <row r="63" spans="1:9" x14ac:dyDescent="0.25">
      <c r="A63" t="s">
        <v>8</v>
      </c>
      <c r="B63">
        <v>295327</v>
      </c>
      <c r="C63">
        <v>295327</v>
      </c>
      <c r="D63">
        <v>643450</v>
      </c>
      <c r="E63">
        <v>643450</v>
      </c>
      <c r="F63">
        <v>7008630</v>
      </c>
      <c r="G63">
        <v>7008630</v>
      </c>
      <c r="H63">
        <v>107724860</v>
      </c>
      <c r="I63">
        <v>107724860</v>
      </c>
    </row>
    <row r="64" spans="1:9" x14ac:dyDescent="0.25">
      <c r="A64" t="s">
        <v>9</v>
      </c>
      <c r="B64">
        <v>200450</v>
      </c>
      <c r="C64">
        <v>274568</v>
      </c>
      <c r="D64">
        <v>843420</v>
      </c>
      <c r="E64">
        <v>608205</v>
      </c>
      <c r="F64">
        <v>5702170</v>
      </c>
      <c r="G64">
        <v>7588150</v>
      </c>
      <c r="H64">
        <v>103049620</v>
      </c>
      <c r="I64">
        <v>110186900</v>
      </c>
    </row>
    <row r="65" spans="1:9" x14ac:dyDescent="0.25">
      <c r="A65" t="s">
        <v>10</v>
      </c>
      <c r="B65">
        <v>344928</v>
      </c>
      <c r="C65">
        <v>261566</v>
      </c>
      <c r="D65">
        <v>415261</v>
      </c>
      <c r="E65">
        <v>743580</v>
      </c>
      <c r="F65">
        <v>9442210</v>
      </c>
      <c r="G65">
        <v>6574300</v>
      </c>
      <c r="H65">
        <v>80958030</v>
      </c>
      <c r="I65">
        <v>124283680</v>
      </c>
    </row>
    <row r="66" spans="1:9" x14ac:dyDescent="0.25">
      <c r="A66" t="s">
        <v>11</v>
      </c>
      <c r="B66">
        <v>336561</v>
      </c>
      <c r="C66">
        <v>244915</v>
      </c>
      <c r="D66">
        <v>516750</v>
      </c>
      <c r="E66">
        <v>695323</v>
      </c>
      <c r="F66">
        <v>7573900</v>
      </c>
      <c r="G66">
        <v>6203580</v>
      </c>
      <c r="H66">
        <v>110349220</v>
      </c>
      <c r="I66">
        <v>173482310</v>
      </c>
    </row>
    <row r="67" spans="1:9" x14ac:dyDescent="0.25">
      <c r="A67" t="s">
        <v>12</v>
      </c>
      <c r="B67">
        <v>256783</v>
      </c>
      <c r="C67">
        <v>290425</v>
      </c>
      <c r="D67">
        <v>401007</v>
      </c>
      <c r="E67">
        <v>497515</v>
      </c>
      <c r="F67">
        <v>5409010</v>
      </c>
      <c r="G67">
        <v>6986930</v>
      </c>
      <c r="H67">
        <v>98963480</v>
      </c>
      <c r="I67">
        <v>78325170</v>
      </c>
    </row>
    <row r="68" spans="1:9" x14ac:dyDescent="0.25">
      <c r="A68" t="s">
        <v>13</v>
      </c>
      <c r="B68">
        <v>331930</v>
      </c>
      <c r="C68">
        <v>335886</v>
      </c>
      <c r="D68">
        <v>757448</v>
      </c>
      <c r="E68">
        <v>686825</v>
      </c>
      <c r="F68">
        <v>6817520</v>
      </c>
      <c r="G68">
        <v>6204730</v>
      </c>
      <c r="H68">
        <v>128622180</v>
      </c>
      <c r="I68">
        <v>172231650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U12"/>
  <sheetViews>
    <sheetView zoomScaleNormal="100" workbookViewId="0">
      <selection activeCell="T27" sqref="A1:XFD1048576"/>
    </sheetView>
  </sheetViews>
  <sheetFormatPr defaultColWidth="8.5703125" defaultRowHeight="15" x14ac:dyDescent="0.25"/>
  <sheetData>
    <row r="1" spans="1:125" ht="15" customHeight="1" x14ac:dyDescent="0.25">
      <c r="A1" s="4" t="s">
        <v>15</v>
      </c>
    </row>
    <row r="2" spans="1:125" ht="15" customHeight="1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19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19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18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18</v>
      </c>
      <c r="DU2" t="s">
        <v>19</v>
      </c>
    </row>
    <row r="3" spans="1:125" ht="15" customHeight="1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  <c r="CQ3">
        <v>4</v>
      </c>
      <c r="CR3">
        <v>4</v>
      </c>
      <c r="CS3">
        <v>4</v>
      </c>
      <c r="CT3">
        <v>4</v>
      </c>
      <c r="CU3">
        <v>4</v>
      </c>
      <c r="CV3">
        <v>4</v>
      </c>
      <c r="CW3">
        <v>4</v>
      </c>
      <c r="CX3">
        <v>4</v>
      </c>
      <c r="CY3">
        <v>4</v>
      </c>
      <c r="CZ3">
        <v>4</v>
      </c>
      <c r="DA3">
        <v>4</v>
      </c>
      <c r="DB3">
        <v>4</v>
      </c>
      <c r="DC3">
        <v>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>
        <v>4</v>
      </c>
      <c r="DK3">
        <v>4</v>
      </c>
      <c r="DL3">
        <v>4</v>
      </c>
      <c r="DM3">
        <v>4</v>
      </c>
      <c r="DN3">
        <v>4</v>
      </c>
      <c r="DO3">
        <v>4</v>
      </c>
      <c r="DP3">
        <v>4</v>
      </c>
      <c r="DQ3">
        <v>4</v>
      </c>
      <c r="DR3">
        <v>4</v>
      </c>
      <c r="DS3">
        <v>4</v>
      </c>
      <c r="DT3">
        <v>4</v>
      </c>
      <c r="DU3">
        <v>4</v>
      </c>
    </row>
    <row r="4" spans="1:125" ht="15" customHeight="1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  <c r="CQ4">
        <v>1</v>
      </c>
      <c r="CR4">
        <v>2</v>
      </c>
      <c r="CS4">
        <v>3</v>
      </c>
      <c r="CT4">
        <v>4</v>
      </c>
      <c r="CU4">
        <v>5</v>
      </c>
      <c r="CV4">
        <v>6</v>
      </c>
      <c r="CW4">
        <v>7</v>
      </c>
      <c r="CX4">
        <v>8</v>
      </c>
      <c r="CY4">
        <v>9</v>
      </c>
      <c r="CZ4">
        <v>10</v>
      </c>
      <c r="DA4">
        <v>11</v>
      </c>
      <c r="DB4">
        <v>12</v>
      </c>
      <c r="DC4">
        <v>13</v>
      </c>
      <c r="DD4">
        <v>14</v>
      </c>
      <c r="DE4">
        <v>15</v>
      </c>
      <c r="DF4">
        <v>16</v>
      </c>
      <c r="DG4">
        <v>17</v>
      </c>
      <c r="DH4">
        <v>18</v>
      </c>
      <c r="DI4">
        <v>19</v>
      </c>
      <c r="DJ4">
        <v>20</v>
      </c>
      <c r="DK4">
        <v>21</v>
      </c>
      <c r="DL4">
        <v>22</v>
      </c>
      <c r="DM4">
        <v>23</v>
      </c>
      <c r="DN4">
        <v>24</v>
      </c>
      <c r="DO4">
        <v>25</v>
      </c>
      <c r="DP4">
        <v>26</v>
      </c>
      <c r="DQ4">
        <v>27</v>
      </c>
      <c r="DR4">
        <v>28</v>
      </c>
      <c r="DS4">
        <v>29</v>
      </c>
      <c r="DT4">
        <v>30</v>
      </c>
      <c r="DU4">
        <v>31</v>
      </c>
    </row>
    <row r="5" spans="1:125" ht="15" customHeight="1" x14ac:dyDescent="0.25">
      <c r="A5" t="s">
        <v>6</v>
      </c>
      <c r="B5">
        <v>16585.129032258061</v>
      </c>
      <c r="C5">
        <v>22932.322580645159</v>
      </c>
      <c r="D5">
        <v>22292.967741935481</v>
      </c>
      <c r="E5">
        <v>21387.032258064519</v>
      </c>
      <c r="F5">
        <v>22684.096774193549</v>
      </c>
      <c r="G5">
        <v>21821.806451612902</v>
      </c>
      <c r="H5">
        <v>23215.70967741936</v>
      </c>
      <c r="I5">
        <v>22531.516129032261</v>
      </c>
      <c r="J5">
        <v>24409.83870967742</v>
      </c>
      <c r="K5">
        <v>22657.645161290318</v>
      </c>
      <c r="L5">
        <v>24442.516129032261</v>
      </c>
      <c r="M5">
        <v>23865.903225806451</v>
      </c>
      <c r="N5">
        <v>24638.677419354841</v>
      </c>
      <c r="O5">
        <v>23090.096774193549</v>
      </c>
      <c r="P5">
        <v>22399.06451612903</v>
      </c>
      <c r="Q5">
        <v>36333.387096774197</v>
      </c>
      <c r="R5">
        <v>44437.032258064522</v>
      </c>
      <c r="S5">
        <v>45255.451612903227</v>
      </c>
      <c r="T5">
        <v>37205.774193548386</v>
      </c>
      <c r="U5">
        <v>40466.93548387097</v>
      </c>
      <c r="V5">
        <v>46654.677419354841</v>
      </c>
      <c r="W5">
        <v>47129.645161290333</v>
      </c>
      <c r="X5">
        <v>39304</v>
      </c>
      <c r="Y5">
        <v>44211.032258064522</v>
      </c>
      <c r="Z5">
        <v>39561.225806451614</v>
      </c>
      <c r="AA5">
        <v>48248.741935483871</v>
      </c>
      <c r="AB5">
        <v>43900.193548387098</v>
      </c>
      <c r="AC5">
        <v>44467.225806451614</v>
      </c>
      <c r="AD5">
        <v>35414</v>
      </c>
      <c r="AE5">
        <v>43958.193548387098</v>
      </c>
      <c r="AF5">
        <v>35362.967741935478</v>
      </c>
      <c r="AG5">
        <v>53452.838709677417</v>
      </c>
      <c r="AH5">
        <v>37839.387096774197</v>
      </c>
      <c r="AI5">
        <v>66193.870967741939</v>
      </c>
      <c r="AJ5">
        <v>59729.451612903227</v>
      </c>
      <c r="AK5">
        <v>54287.419354838712</v>
      </c>
      <c r="AL5">
        <v>60178.354838709667</v>
      </c>
      <c r="AM5">
        <v>37701.161290322583</v>
      </c>
      <c r="AN5">
        <v>50926.161290322583</v>
      </c>
      <c r="AO5">
        <v>55539.967741935478</v>
      </c>
      <c r="AP5">
        <v>56262.838709677417</v>
      </c>
      <c r="AQ5">
        <v>60364.903225806447</v>
      </c>
      <c r="AR5">
        <v>51373.967741935478</v>
      </c>
      <c r="AS5">
        <v>41387.419354838712</v>
      </c>
      <c r="AT5">
        <v>57883.967741935478</v>
      </c>
      <c r="AU5">
        <v>49898.677419354841</v>
      </c>
      <c r="AV5">
        <v>91116.225806451606</v>
      </c>
      <c r="AW5">
        <v>87677.709677419349</v>
      </c>
      <c r="AX5">
        <v>106266.9677419355</v>
      </c>
      <c r="AY5">
        <v>77392.387096774197</v>
      </c>
      <c r="AZ5">
        <v>107227.6774193548</v>
      </c>
      <c r="BA5">
        <v>75098.451612903227</v>
      </c>
      <c r="BB5">
        <v>88787.096774193546</v>
      </c>
      <c r="BC5">
        <v>89525.93548387097</v>
      </c>
      <c r="BD5">
        <v>87203.806451612909</v>
      </c>
      <c r="BE5">
        <v>89419.096774193546</v>
      </c>
      <c r="BF5">
        <v>74233.741935483864</v>
      </c>
      <c r="BG5">
        <v>80978.806451612909</v>
      </c>
      <c r="BH5">
        <v>118039.4516129032</v>
      </c>
      <c r="BI5">
        <v>105097.22580645161</v>
      </c>
      <c r="BJ5">
        <v>97179.096774193546</v>
      </c>
      <c r="BK5">
        <v>72005.774193548394</v>
      </c>
      <c r="BL5">
        <v>584341.48387096776</v>
      </c>
      <c r="BM5">
        <v>627079.96774193551</v>
      </c>
      <c r="BN5">
        <v>599160.48387096776</v>
      </c>
      <c r="BO5">
        <v>626542</v>
      </c>
      <c r="BP5">
        <v>531688.38709677418</v>
      </c>
      <c r="BQ5">
        <v>488066.70967741928</v>
      </c>
      <c r="BR5">
        <v>541729.09677419357</v>
      </c>
      <c r="BS5">
        <v>541779.67741935479</v>
      </c>
      <c r="BT5">
        <v>619584.67741935479</v>
      </c>
      <c r="BU5">
        <v>582145.19354838715</v>
      </c>
      <c r="BV5">
        <v>471938.70967741928</v>
      </c>
      <c r="BW5">
        <v>591823.83870967745</v>
      </c>
      <c r="BX5">
        <v>582099.51612903224</v>
      </c>
      <c r="BY5">
        <v>499869.93548387103</v>
      </c>
      <c r="BZ5">
        <v>474712.54838709679</v>
      </c>
      <c r="CA5">
        <v>1178134.8387096771</v>
      </c>
      <c r="CB5">
        <v>837966.45161290327</v>
      </c>
      <c r="CC5">
        <v>934972.25806451612</v>
      </c>
      <c r="CD5">
        <v>881381.93548387091</v>
      </c>
      <c r="CE5">
        <v>1040401.290322581</v>
      </c>
      <c r="CF5">
        <v>1186334.1935483869</v>
      </c>
      <c r="CG5">
        <v>757894.19354838715</v>
      </c>
      <c r="CH5">
        <v>1095938.064516129</v>
      </c>
      <c r="CI5">
        <v>834888.58064516133</v>
      </c>
      <c r="CJ5">
        <v>943956.51612903224</v>
      </c>
      <c r="CK5">
        <v>986176.12903225806</v>
      </c>
      <c r="CL5">
        <v>918763.67741935479</v>
      </c>
      <c r="CM5">
        <v>941755.32258064521</v>
      </c>
      <c r="CN5">
        <v>1306213.2258064521</v>
      </c>
      <c r="CO5">
        <v>1126657.419354839</v>
      </c>
      <c r="CP5">
        <v>797444.03225806449</v>
      </c>
      <c r="CQ5">
        <v>6329410.5483870972</v>
      </c>
      <c r="CR5">
        <v>9261385.2580645159</v>
      </c>
      <c r="CS5">
        <v>8714346.0322580654</v>
      </c>
      <c r="CT5">
        <v>8381139.2903225804</v>
      </c>
      <c r="CU5">
        <v>9252577.6129032262</v>
      </c>
      <c r="CV5">
        <v>9241371.2258064523</v>
      </c>
      <c r="CW5">
        <v>8709682.3225806449</v>
      </c>
      <c r="CX5">
        <v>9237380.2903225813</v>
      </c>
      <c r="CY5">
        <v>6307852.7096774196</v>
      </c>
      <c r="CZ5">
        <v>9244696.5806451607</v>
      </c>
      <c r="DA5">
        <v>9218770.8064516131</v>
      </c>
      <c r="DB5">
        <v>5774703.064516129</v>
      </c>
      <c r="DC5">
        <v>6120035.5161290327</v>
      </c>
      <c r="DD5">
        <v>6398902.064516129</v>
      </c>
      <c r="DE5">
        <v>8587679.5483870972</v>
      </c>
      <c r="DF5">
        <v>21338000.580645159</v>
      </c>
      <c r="DG5">
        <v>16589328.38709677</v>
      </c>
      <c r="DH5">
        <v>23779532.225806449</v>
      </c>
      <c r="DI5">
        <v>21446611.290322579</v>
      </c>
      <c r="DJ5">
        <v>12826431.580645161</v>
      </c>
      <c r="DK5">
        <v>11605425.51612903</v>
      </c>
      <c r="DL5">
        <v>22225020.548387099</v>
      </c>
      <c r="DM5">
        <v>14769452.709677421</v>
      </c>
      <c r="DN5">
        <v>21667036.161290321</v>
      </c>
      <c r="DO5">
        <v>20559872.903225809</v>
      </c>
      <c r="DP5">
        <v>19280194.096774191</v>
      </c>
      <c r="DQ5">
        <v>17017289.290322579</v>
      </c>
      <c r="DR5">
        <v>12860529.87096774</v>
      </c>
      <c r="DS5">
        <v>23359520.61290323</v>
      </c>
      <c r="DT5">
        <v>20976035.35483871</v>
      </c>
      <c r="DU5">
        <v>19787758.419354841</v>
      </c>
    </row>
    <row r="6" spans="1:125" ht="15" customHeight="1" x14ac:dyDescent="0.25">
      <c r="A6" t="s">
        <v>7</v>
      </c>
      <c r="B6">
        <v>18322.16129032258</v>
      </c>
      <c r="C6">
        <v>11673.548387096769</v>
      </c>
      <c r="D6">
        <v>19338.032258064519</v>
      </c>
      <c r="E6">
        <v>19918.193548387098</v>
      </c>
      <c r="F6">
        <v>14405.93548387097</v>
      </c>
      <c r="G6">
        <v>18594.967741935481</v>
      </c>
      <c r="H6">
        <v>18497.516129032261</v>
      </c>
      <c r="I6">
        <v>18259.451612903231</v>
      </c>
      <c r="J6">
        <v>14240.16129032258</v>
      </c>
      <c r="K6">
        <v>17729.61290322581</v>
      </c>
      <c r="L6">
        <v>17978.93548387097</v>
      </c>
      <c r="M6">
        <v>17002.16129032258</v>
      </c>
      <c r="N6">
        <v>19611.93548387097</v>
      </c>
      <c r="O6">
        <v>18791.83870967742</v>
      </c>
      <c r="P6">
        <v>20523.580645161292</v>
      </c>
      <c r="Q6">
        <v>24570.322580645159</v>
      </c>
      <c r="R6">
        <v>23953.22580645161</v>
      </c>
      <c r="S6">
        <v>22661.29032258064</v>
      </c>
      <c r="T6">
        <v>24559.677419354841</v>
      </c>
      <c r="U6">
        <v>27227.419354838708</v>
      </c>
      <c r="V6">
        <v>27033.870967741939</v>
      </c>
      <c r="W6">
        <v>27920.322580645159</v>
      </c>
      <c r="X6">
        <v>24728.06451612903</v>
      </c>
      <c r="Y6">
        <v>26237.419354838708</v>
      </c>
      <c r="Z6">
        <v>31832.903225806451</v>
      </c>
      <c r="AA6">
        <v>29179.677419354841</v>
      </c>
      <c r="AB6">
        <v>23277.419354838708</v>
      </c>
      <c r="AC6">
        <v>26739.354838709682</v>
      </c>
      <c r="AD6">
        <v>28876.77419354839</v>
      </c>
      <c r="AE6">
        <v>24512.258064516129</v>
      </c>
      <c r="AF6">
        <v>19120.806451612902</v>
      </c>
      <c r="AG6">
        <v>25566.516129032261</v>
      </c>
      <c r="AH6">
        <v>37064.93548387097</v>
      </c>
      <c r="AI6">
        <v>44474.322580645159</v>
      </c>
      <c r="AJ6">
        <v>32644.032258064519</v>
      </c>
      <c r="AK6">
        <v>27100</v>
      </c>
      <c r="AL6">
        <v>36460.290322580637</v>
      </c>
      <c r="AM6">
        <v>48715.93548387097</v>
      </c>
      <c r="AN6">
        <v>44617.548387096773</v>
      </c>
      <c r="AO6">
        <v>39964</v>
      </c>
      <c r="AP6">
        <v>39636.354838709667</v>
      </c>
      <c r="AQ6">
        <v>34201.129032258068</v>
      </c>
      <c r="AR6">
        <v>47689.870967741932</v>
      </c>
      <c r="AS6">
        <v>44636.677419354841</v>
      </c>
      <c r="AT6">
        <v>48833.322580645159</v>
      </c>
      <c r="AU6">
        <v>43399.322580645159</v>
      </c>
      <c r="AV6">
        <v>62333.096774193553</v>
      </c>
      <c r="AW6">
        <v>77457.387096774197</v>
      </c>
      <c r="AX6">
        <v>50827.451612903227</v>
      </c>
      <c r="AY6">
        <v>68997.677419354834</v>
      </c>
      <c r="AZ6">
        <v>51185.483870967742</v>
      </c>
      <c r="BA6">
        <v>50731.645161290333</v>
      </c>
      <c r="BB6">
        <v>57180.838709677417</v>
      </c>
      <c r="BC6">
        <v>47582.806451612902</v>
      </c>
      <c r="BD6">
        <v>54089.838709677417</v>
      </c>
      <c r="BE6">
        <v>54494</v>
      </c>
      <c r="BF6">
        <v>61785.93548387097</v>
      </c>
      <c r="BG6">
        <v>54174.645161290333</v>
      </c>
      <c r="BH6">
        <v>45580.451612903227</v>
      </c>
      <c r="BI6">
        <v>66150.096774193546</v>
      </c>
      <c r="BJ6">
        <v>38394.967741935478</v>
      </c>
      <c r="BK6">
        <v>49747.870967741932</v>
      </c>
      <c r="BL6">
        <v>317095.48387096782</v>
      </c>
      <c r="BM6">
        <v>428959.3548387097</v>
      </c>
      <c r="BN6">
        <v>294771.61290322582</v>
      </c>
      <c r="BO6">
        <v>517303.54838709679</v>
      </c>
      <c r="BP6">
        <v>263873.22580645158</v>
      </c>
      <c r="BQ6">
        <v>479150.96774193551</v>
      </c>
      <c r="BR6">
        <v>488829.03225806449</v>
      </c>
      <c r="BS6">
        <v>397631.93548387103</v>
      </c>
      <c r="BT6">
        <v>438777.74193548388</v>
      </c>
      <c r="BU6">
        <v>480446.77419354842</v>
      </c>
      <c r="BV6">
        <v>362148.38709677418</v>
      </c>
      <c r="BW6">
        <v>483247.74193548388</v>
      </c>
      <c r="BX6">
        <v>368390.6451612903</v>
      </c>
      <c r="BY6">
        <v>470765.16129032261</v>
      </c>
      <c r="BZ6">
        <v>490544.83870967739</v>
      </c>
      <c r="CA6">
        <v>574475.22580645164</v>
      </c>
      <c r="CB6">
        <v>652019.61290322582</v>
      </c>
      <c r="CC6">
        <v>680626.06451612909</v>
      </c>
      <c r="CD6">
        <v>573891.09677419357</v>
      </c>
      <c r="CE6">
        <v>665117.80645161285</v>
      </c>
      <c r="CF6">
        <v>658356.38709677418</v>
      </c>
      <c r="CG6">
        <v>618710.32258064521</v>
      </c>
      <c r="CH6">
        <v>874681.93548387091</v>
      </c>
      <c r="CI6">
        <v>352374.96774193551</v>
      </c>
      <c r="CJ6">
        <v>665713.93548387091</v>
      </c>
      <c r="CK6">
        <v>477196.6451612903</v>
      </c>
      <c r="CL6">
        <v>567864.38709677418</v>
      </c>
      <c r="CM6">
        <v>853177.54838709673</v>
      </c>
      <c r="CN6">
        <v>638734.83870967745</v>
      </c>
      <c r="CO6">
        <v>485703.09677419357</v>
      </c>
      <c r="CP6">
        <v>626352.58064516133</v>
      </c>
      <c r="CQ6">
        <v>4575153.2258064514</v>
      </c>
      <c r="CR6">
        <v>9697939.3548387103</v>
      </c>
      <c r="CS6">
        <v>6137493.8709677421</v>
      </c>
      <c r="CT6">
        <v>9829030.9677419346</v>
      </c>
      <c r="CU6">
        <v>5547970.6451612907</v>
      </c>
      <c r="CV6">
        <v>7875113.5483870972</v>
      </c>
      <c r="CW6">
        <v>3944277.7419354841</v>
      </c>
      <c r="CX6">
        <v>6923981.2903225804</v>
      </c>
      <c r="CY6">
        <v>6648879.6774193551</v>
      </c>
      <c r="CZ6">
        <v>4718362.2580645159</v>
      </c>
      <c r="DA6">
        <v>7709567.0967741935</v>
      </c>
      <c r="DB6">
        <v>5776537.7419354841</v>
      </c>
      <c r="DC6">
        <v>4022285.8064516131</v>
      </c>
      <c r="DD6">
        <v>5633160.9677419364</v>
      </c>
      <c r="DE6">
        <v>6653961.6129032262</v>
      </c>
      <c r="DF6">
        <v>15110825.806451609</v>
      </c>
      <c r="DG6">
        <v>8528832</v>
      </c>
      <c r="DH6">
        <v>10732532.51612903</v>
      </c>
      <c r="DI6">
        <v>11528248.25806452</v>
      </c>
      <c r="DJ6">
        <v>14494134.193548391</v>
      </c>
      <c r="DK6">
        <v>13957189.935483869</v>
      </c>
      <c r="DL6">
        <v>8030380.2580645159</v>
      </c>
      <c r="DM6">
        <v>8521266.9677419346</v>
      </c>
      <c r="DN6">
        <v>11306353.16129032</v>
      </c>
      <c r="DO6">
        <v>14128709.032258069</v>
      </c>
      <c r="DP6">
        <v>10105356.38709677</v>
      </c>
      <c r="DQ6">
        <v>13234993.935483869</v>
      </c>
      <c r="DR6">
        <v>8134645.1612903224</v>
      </c>
      <c r="DS6">
        <v>11802709.548387101</v>
      </c>
      <c r="DT6">
        <v>10892457.290322579</v>
      </c>
      <c r="DU6">
        <v>10912430.322580639</v>
      </c>
    </row>
    <row r="7" spans="1:125" ht="15" customHeight="1" x14ac:dyDescent="0.25">
      <c r="A7" t="s">
        <v>8</v>
      </c>
      <c r="B7">
        <v>24403.419354838708</v>
      </c>
      <c r="C7">
        <v>23839.419354838708</v>
      </c>
      <c r="D7">
        <v>22589.93548387097</v>
      </c>
      <c r="E7">
        <v>21890</v>
      </c>
      <c r="F7">
        <v>20232.06451612903</v>
      </c>
      <c r="G7">
        <v>19798.70967741936</v>
      </c>
      <c r="H7">
        <v>19793.870967741939</v>
      </c>
      <c r="I7">
        <v>19372.83870967742</v>
      </c>
      <c r="J7">
        <v>19232.967741935481</v>
      </c>
      <c r="K7">
        <v>19228.258064516129</v>
      </c>
      <c r="L7">
        <v>19223.29032258064</v>
      </c>
      <c r="M7">
        <v>19219.483870967739</v>
      </c>
      <c r="N7">
        <v>19216.258064516129</v>
      </c>
      <c r="O7">
        <v>19210.903225806451</v>
      </c>
      <c r="P7">
        <v>19207.032258064519</v>
      </c>
      <c r="Q7">
        <v>23042.580645161292</v>
      </c>
      <c r="R7">
        <v>22921.93548387097</v>
      </c>
      <c r="S7">
        <v>22912.258064516129</v>
      </c>
      <c r="T7">
        <v>22907.741935483871</v>
      </c>
      <c r="U7">
        <v>22905.16129032258</v>
      </c>
      <c r="V7">
        <v>22899.354838709682</v>
      </c>
      <c r="W7">
        <v>22896.129032258061</v>
      </c>
      <c r="X7">
        <v>22891.61290322581</v>
      </c>
      <c r="Y7">
        <v>22887.741935483871</v>
      </c>
      <c r="Z7">
        <v>22882.580645161292</v>
      </c>
      <c r="AA7">
        <v>22880</v>
      </c>
      <c r="AB7">
        <v>22874.193548387098</v>
      </c>
      <c r="AC7">
        <v>22871.61290322581</v>
      </c>
      <c r="AD7">
        <v>22870.322580645159</v>
      </c>
      <c r="AE7">
        <v>22865.806451612902</v>
      </c>
      <c r="AF7">
        <v>19053.354838709682</v>
      </c>
      <c r="AG7">
        <v>52108.451612903227</v>
      </c>
      <c r="AH7">
        <v>48253.677419354841</v>
      </c>
      <c r="AI7">
        <v>47545.161290322583</v>
      </c>
      <c r="AJ7">
        <v>46994</v>
      </c>
      <c r="AK7">
        <v>44864.967741935478</v>
      </c>
      <c r="AL7">
        <v>44040.645161290333</v>
      </c>
      <c r="AM7">
        <v>43610.516129032258</v>
      </c>
      <c r="AN7">
        <v>43374.967741935478</v>
      </c>
      <c r="AO7">
        <v>43268.580645161288</v>
      </c>
      <c r="AP7">
        <v>43197.612903225803</v>
      </c>
      <c r="AQ7">
        <v>43123.741935483871</v>
      </c>
      <c r="AR7">
        <v>43001.806451612902</v>
      </c>
      <c r="AS7">
        <v>42937.548387096773</v>
      </c>
      <c r="AT7">
        <v>42869.93548387097</v>
      </c>
      <c r="AU7">
        <v>42815.548387096773</v>
      </c>
      <c r="AV7">
        <v>51274.193548387098</v>
      </c>
      <c r="AW7">
        <v>51194.709677419363</v>
      </c>
      <c r="AX7">
        <v>51125.161290322583</v>
      </c>
      <c r="AY7">
        <v>51000.967741935478</v>
      </c>
      <c r="AZ7">
        <v>50878.903225806447</v>
      </c>
      <c r="BA7">
        <v>50766.06451612903</v>
      </c>
      <c r="BB7">
        <v>50638.322580645159</v>
      </c>
      <c r="BC7">
        <v>50516.967741935478</v>
      </c>
      <c r="BD7">
        <v>50433.225806451614</v>
      </c>
      <c r="BE7">
        <v>50331.032258064522</v>
      </c>
      <c r="BF7">
        <v>50218.903225806447</v>
      </c>
      <c r="BG7">
        <v>50120.967741935478</v>
      </c>
      <c r="BH7">
        <v>50056.387096774197</v>
      </c>
      <c r="BI7">
        <v>49983.290322580637</v>
      </c>
      <c r="BJ7">
        <v>49906.645161290333</v>
      </c>
      <c r="BK7">
        <v>41512.903225806447</v>
      </c>
      <c r="BL7">
        <v>495726.45161290321</v>
      </c>
      <c r="BM7">
        <v>494731.61290322582</v>
      </c>
      <c r="BN7">
        <v>493861.29032258072</v>
      </c>
      <c r="BO7">
        <v>492993.54838709679</v>
      </c>
      <c r="BP7">
        <v>491712.25806451612</v>
      </c>
      <c r="BQ7">
        <v>490381.29032258072</v>
      </c>
      <c r="BR7">
        <v>489332.25806451612</v>
      </c>
      <c r="BS7">
        <v>488157.41935483873</v>
      </c>
      <c r="BT7">
        <v>486923.22580645158</v>
      </c>
      <c r="BU7">
        <v>486016.12903225812</v>
      </c>
      <c r="BV7">
        <v>485354.83870967739</v>
      </c>
      <c r="BW7">
        <v>484870.32258064521</v>
      </c>
      <c r="BX7">
        <v>483476.77419354842</v>
      </c>
      <c r="BY7">
        <v>482648.38709677418</v>
      </c>
      <c r="BZ7">
        <v>481582.58064516127</v>
      </c>
      <c r="CA7">
        <v>560922.58064516133</v>
      </c>
      <c r="CB7">
        <v>560204.90322580643</v>
      </c>
      <c r="CC7">
        <v>558761.03225806449</v>
      </c>
      <c r="CD7">
        <v>557686.45161290327</v>
      </c>
      <c r="CE7">
        <v>556870.45161290327</v>
      </c>
      <c r="CF7">
        <v>555592.25806451612</v>
      </c>
      <c r="CG7">
        <v>554464.25806451612</v>
      </c>
      <c r="CH7">
        <v>552692.12903225806</v>
      </c>
      <c r="CI7">
        <v>551513.80645161285</v>
      </c>
      <c r="CJ7">
        <v>550423.74193548388</v>
      </c>
      <c r="CK7">
        <v>549419.61290322582</v>
      </c>
      <c r="CL7">
        <v>548367.48387096776</v>
      </c>
      <c r="CM7">
        <v>546397.93548387091</v>
      </c>
      <c r="CN7">
        <v>545232.77419354836</v>
      </c>
      <c r="CO7">
        <v>544115.61290322582</v>
      </c>
      <c r="CP7">
        <v>452169.67741935479</v>
      </c>
      <c r="CQ7">
        <v>8711200</v>
      </c>
      <c r="CR7">
        <v>8657970.3225806449</v>
      </c>
      <c r="CS7">
        <v>8608596.1290322579</v>
      </c>
      <c r="CT7">
        <v>8567962.5806451607</v>
      </c>
      <c r="CU7">
        <v>8504243.8709677421</v>
      </c>
      <c r="CV7">
        <v>8462838.7096774187</v>
      </c>
      <c r="CW7">
        <v>8423398.064516129</v>
      </c>
      <c r="CX7">
        <v>8359714.8387096776</v>
      </c>
      <c r="CY7">
        <v>8311305.8064516131</v>
      </c>
      <c r="CZ7">
        <v>8259490.9677419364</v>
      </c>
      <c r="DA7">
        <v>8230048.3870967738</v>
      </c>
      <c r="DB7">
        <v>8196609.0322580636</v>
      </c>
      <c r="DC7">
        <v>8102597.4193548383</v>
      </c>
      <c r="DD7">
        <v>8085795.4838709673</v>
      </c>
      <c r="DE7">
        <v>8045610.9677419364</v>
      </c>
      <c r="DF7">
        <v>9620900.1290322579</v>
      </c>
      <c r="DG7">
        <v>9601259.6129032262</v>
      </c>
      <c r="DH7">
        <v>9556374.1935483869</v>
      </c>
      <c r="DI7">
        <v>9495160.2580645159</v>
      </c>
      <c r="DJ7">
        <v>9470540.1290322579</v>
      </c>
      <c r="DK7">
        <v>9444340.6451612897</v>
      </c>
      <c r="DL7">
        <v>9396958.4516129028</v>
      </c>
      <c r="DM7">
        <v>9348005.4193548393</v>
      </c>
      <c r="DN7">
        <v>9324329.0322580654</v>
      </c>
      <c r="DO7">
        <v>9283169.8064516131</v>
      </c>
      <c r="DP7">
        <v>9246535.7419354841</v>
      </c>
      <c r="DQ7">
        <v>9227467.3548387103</v>
      </c>
      <c r="DR7">
        <v>9172505.0322580654</v>
      </c>
      <c r="DS7">
        <v>8888460.3870967738</v>
      </c>
      <c r="DT7">
        <v>8387155.3548387093</v>
      </c>
      <c r="DU7">
        <v>6949990.9677419364</v>
      </c>
    </row>
    <row r="8" spans="1:125" ht="15" customHeight="1" x14ac:dyDescent="0.25">
      <c r="A8" t="s">
        <v>9</v>
      </c>
      <c r="B8">
        <v>20445.645161290318</v>
      </c>
      <c r="C8">
        <v>21283.29032258064</v>
      </c>
      <c r="D8">
        <v>21965.70967741936</v>
      </c>
      <c r="E8">
        <v>18058.967741935481</v>
      </c>
      <c r="F8">
        <v>21372.806451612902</v>
      </c>
      <c r="G8">
        <v>22982.83870967742</v>
      </c>
      <c r="H8">
        <v>20333.967741935481</v>
      </c>
      <c r="I8">
        <v>17340.032258064519</v>
      </c>
      <c r="J8">
        <v>18840.967741935481</v>
      </c>
      <c r="K8">
        <v>18355</v>
      </c>
      <c r="L8">
        <v>18255.93548387097</v>
      </c>
      <c r="M8">
        <v>21352.903225806451</v>
      </c>
      <c r="N8">
        <v>23104.61290322581</v>
      </c>
      <c r="O8">
        <v>19486.22580645161</v>
      </c>
      <c r="P8">
        <v>15554.61290322581</v>
      </c>
      <c r="Q8">
        <v>25818.38709677419</v>
      </c>
      <c r="R8">
        <v>21744.83870967742</v>
      </c>
      <c r="S8">
        <v>27275.483870967739</v>
      </c>
      <c r="T8">
        <v>24320.645161290318</v>
      </c>
      <c r="U8">
        <v>26138.06451612903</v>
      </c>
      <c r="V8">
        <v>21381.61290322581</v>
      </c>
      <c r="W8">
        <v>23180.967741935481</v>
      </c>
      <c r="X8">
        <v>22114.83870967742</v>
      </c>
      <c r="Y8">
        <v>22635.806451612902</v>
      </c>
      <c r="Z8">
        <v>27892.258064516129</v>
      </c>
      <c r="AA8">
        <v>26123.548387096769</v>
      </c>
      <c r="AB8">
        <v>19107.741935483871</v>
      </c>
      <c r="AC8">
        <v>22352.258064516129</v>
      </c>
      <c r="AD8">
        <v>24930.322580645159</v>
      </c>
      <c r="AE8">
        <v>22237.096774193549</v>
      </c>
      <c r="AF8">
        <v>15323.16129032258</v>
      </c>
      <c r="AG8">
        <v>52597.741935483871</v>
      </c>
      <c r="AH8">
        <v>33050.612903225803</v>
      </c>
      <c r="AI8">
        <v>34469.387096774197</v>
      </c>
      <c r="AJ8">
        <v>43164</v>
      </c>
      <c r="AK8">
        <v>35705.967741935478</v>
      </c>
      <c r="AL8">
        <v>47701.548387096773</v>
      </c>
      <c r="AM8">
        <v>62327.451612903227</v>
      </c>
      <c r="AN8">
        <v>36199</v>
      </c>
      <c r="AO8">
        <v>43470.161290322583</v>
      </c>
      <c r="AP8">
        <v>38865.354838709667</v>
      </c>
      <c r="AQ8">
        <v>50004.903225806447</v>
      </c>
      <c r="AR8">
        <v>45139.129032258068</v>
      </c>
      <c r="AS8">
        <v>34317.354838709667</v>
      </c>
      <c r="AT8">
        <v>33367.290322580637</v>
      </c>
      <c r="AU8">
        <v>44010.290322580637</v>
      </c>
      <c r="AV8">
        <v>40844.06451612903</v>
      </c>
      <c r="AW8">
        <v>56215.677419354841</v>
      </c>
      <c r="AX8">
        <v>50729.870967741932</v>
      </c>
      <c r="AY8">
        <v>55139.096774193553</v>
      </c>
      <c r="AZ8">
        <v>47104.483870967742</v>
      </c>
      <c r="BA8">
        <v>36941.193548387098</v>
      </c>
      <c r="BB8">
        <v>53012.193548387098</v>
      </c>
      <c r="BC8">
        <v>30594.193548387098</v>
      </c>
      <c r="BD8">
        <v>72727.032258064515</v>
      </c>
      <c r="BE8">
        <v>67936</v>
      </c>
      <c r="BF8">
        <v>61644.354838709667</v>
      </c>
      <c r="BG8">
        <v>50554.93548387097</v>
      </c>
      <c r="BH8">
        <v>53564.677419354841</v>
      </c>
      <c r="BI8">
        <v>58329.096774193553</v>
      </c>
      <c r="BJ8">
        <v>61872.870967741932</v>
      </c>
      <c r="BK8">
        <v>46826.612903225803</v>
      </c>
      <c r="BL8">
        <v>549619.3548387097</v>
      </c>
      <c r="BM8">
        <v>357793.22580645158</v>
      </c>
      <c r="BN8">
        <v>452663.54838709679</v>
      </c>
      <c r="BO8">
        <v>325303.87096774188</v>
      </c>
      <c r="BP8">
        <v>369794.51612903218</v>
      </c>
      <c r="BQ8">
        <v>667269.3548387097</v>
      </c>
      <c r="BR8">
        <v>650413.87096774194</v>
      </c>
      <c r="BS8">
        <v>540870.6451612903</v>
      </c>
      <c r="BT8">
        <v>372745.16129032261</v>
      </c>
      <c r="BU8">
        <v>582058.38709677418</v>
      </c>
      <c r="BV8">
        <v>475541.29032258072</v>
      </c>
      <c r="BW8">
        <v>530331.93548387091</v>
      </c>
      <c r="BX8">
        <v>586448.06451612909</v>
      </c>
      <c r="BY8">
        <v>507789.03225806449</v>
      </c>
      <c r="BZ8">
        <v>527603.22580645164</v>
      </c>
      <c r="CA8">
        <v>586911.48387096776</v>
      </c>
      <c r="CB8">
        <v>654162.19354838715</v>
      </c>
      <c r="CC8">
        <v>480496.6451612903</v>
      </c>
      <c r="CD8">
        <v>592225.93548387091</v>
      </c>
      <c r="CE8">
        <v>617906.32258064521</v>
      </c>
      <c r="CF8">
        <v>527835.48387096776</v>
      </c>
      <c r="CG8">
        <v>528430.06451612909</v>
      </c>
      <c r="CH8">
        <v>524448</v>
      </c>
      <c r="CI8">
        <v>346431.48387096782</v>
      </c>
      <c r="CJ8">
        <v>610380.38709677418</v>
      </c>
      <c r="CK8">
        <v>519544.25806451612</v>
      </c>
      <c r="CL8">
        <v>500253.29032258072</v>
      </c>
      <c r="CM8">
        <v>661556.90322580643</v>
      </c>
      <c r="CN8">
        <v>482554.83870967739</v>
      </c>
      <c r="CO8">
        <v>485494.83870967739</v>
      </c>
      <c r="CP8">
        <v>428720</v>
      </c>
      <c r="CQ8">
        <v>6511617.7419354841</v>
      </c>
      <c r="CR8">
        <v>9748106.7741935477</v>
      </c>
      <c r="CS8">
        <v>7507596.1290322579</v>
      </c>
      <c r="CT8">
        <v>6729834.5161290327</v>
      </c>
      <c r="CU8">
        <v>13313176.12903226</v>
      </c>
      <c r="CV8">
        <v>11312273.87096774</v>
      </c>
      <c r="CW8">
        <v>9893413.8709677421</v>
      </c>
      <c r="CX8">
        <v>5634191.2903225804</v>
      </c>
      <c r="CY8">
        <v>9059117.7419354841</v>
      </c>
      <c r="CZ8">
        <v>10194993.22580645</v>
      </c>
      <c r="DA8">
        <v>9100550</v>
      </c>
      <c r="DB8">
        <v>7216242.5806451617</v>
      </c>
      <c r="DC8">
        <v>6131671.6129032262</v>
      </c>
      <c r="DD8">
        <v>6125196.7741935486</v>
      </c>
      <c r="DE8">
        <v>10621206.12903226</v>
      </c>
      <c r="DF8">
        <v>6452237.4193548383</v>
      </c>
      <c r="DG8">
        <v>7175218.4516129028</v>
      </c>
      <c r="DH8">
        <v>9751076.5161290318</v>
      </c>
      <c r="DI8">
        <v>9326557.1612903234</v>
      </c>
      <c r="DJ8">
        <v>8279534.3225806449</v>
      </c>
      <c r="DK8">
        <v>9057972.3870967738</v>
      </c>
      <c r="DL8">
        <v>8807972.5161290318</v>
      </c>
      <c r="DM8">
        <v>10836471.87096774</v>
      </c>
      <c r="DN8">
        <v>8847989.4193548393</v>
      </c>
      <c r="DO8">
        <v>12519583.35483871</v>
      </c>
      <c r="DP8">
        <v>7678800</v>
      </c>
      <c r="DQ8">
        <v>6822328.6451612907</v>
      </c>
      <c r="DR8">
        <v>10407860.12903226</v>
      </c>
      <c r="DS8">
        <v>8343181.1612903224</v>
      </c>
      <c r="DT8">
        <v>10955883.48387097</v>
      </c>
      <c r="DU8">
        <v>6878597.4193548383</v>
      </c>
    </row>
    <row r="9" spans="1:125" ht="15" customHeight="1" x14ac:dyDescent="0.25">
      <c r="A9" t="s">
        <v>10</v>
      </c>
      <c r="B9">
        <v>22028.806451612902</v>
      </c>
      <c r="C9">
        <v>18467.258064516129</v>
      </c>
      <c r="D9">
        <v>19552.870967741939</v>
      </c>
      <c r="E9">
        <v>18526.096774193549</v>
      </c>
      <c r="F9">
        <v>18398.258064516129</v>
      </c>
      <c r="G9">
        <v>21414.451612903231</v>
      </c>
      <c r="H9">
        <v>20400.193548387098</v>
      </c>
      <c r="I9">
        <v>18087.451612903231</v>
      </c>
      <c r="J9">
        <v>22406.096774193549</v>
      </c>
      <c r="K9">
        <v>19595.451612903231</v>
      </c>
      <c r="L9">
        <v>18255.419354838708</v>
      </c>
      <c r="M9">
        <v>20985.741935483871</v>
      </c>
      <c r="N9">
        <v>18049.22580645161</v>
      </c>
      <c r="O9">
        <v>18608.483870967739</v>
      </c>
      <c r="P9">
        <v>23090.870967741939</v>
      </c>
      <c r="Q9">
        <v>20988.70967741936</v>
      </c>
      <c r="R9">
        <v>28328.70967741936</v>
      </c>
      <c r="S9">
        <v>26757.741935483871</v>
      </c>
      <c r="T9">
        <v>18829.677419354841</v>
      </c>
      <c r="U9">
        <v>23553.870967741939</v>
      </c>
      <c r="V9">
        <v>20984.516129032261</v>
      </c>
      <c r="W9">
        <v>22087.096774193549</v>
      </c>
      <c r="X9">
        <v>19270.645161290318</v>
      </c>
      <c r="Y9">
        <v>19952.258064516129</v>
      </c>
      <c r="Z9">
        <v>23494.516129032261</v>
      </c>
      <c r="AA9">
        <v>27078.06451612903</v>
      </c>
      <c r="AB9">
        <v>26681.93548387097</v>
      </c>
      <c r="AC9">
        <v>26863.22580645161</v>
      </c>
      <c r="AD9">
        <v>24935.16129032258</v>
      </c>
      <c r="AE9">
        <v>23398.70967741936</v>
      </c>
      <c r="AF9">
        <v>19564.322580645159</v>
      </c>
      <c r="AG9">
        <v>44763.741935483871</v>
      </c>
      <c r="AH9">
        <v>55127.161290322583</v>
      </c>
      <c r="AI9">
        <v>49335.193548387098</v>
      </c>
      <c r="AJ9">
        <v>33304.709677419363</v>
      </c>
      <c r="AK9">
        <v>40835.93548387097</v>
      </c>
      <c r="AL9">
        <v>53859.580645161288</v>
      </c>
      <c r="AM9">
        <v>49998.096774193553</v>
      </c>
      <c r="AN9">
        <v>50794.677419354841</v>
      </c>
      <c r="AO9">
        <v>36003</v>
      </c>
      <c r="AP9">
        <v>31538.419354838708</v>
      </c>
      <c r="AQ9">
        <v>36490.838709677417</v>
      </c>
      <c r="AR9">
        <v>31059.870967741939</v>
      </c>
      <c r="AS9">
        <v>45511.451612903227</v>
      </c>
      <c r="AT9">
        <v>53630.516129032258</v>
      </c>
      <c r="AU9">
        <v>45906.709677419363</v>
      </c>
      <c r="AV9">
        <v>45760.354838709667</v>
      </c>
      <c r="AW9">
        <v>69302.838709677424</v>
      </c>
      <c r="AX9">
        <v>50306.193548387098</v>
      </c>
      <c r="AY9">
        <v>70538.387096774197</v>
      </c>
      <c r="AZ9">
        <v>59161.903225806447</v>
      </c>
      <c r="BA9">
        <v>49892.096774193553</v>
      </c>
      <c r="BB9">
        <v>41740.741935483871</v>
      </c>
      <c r="BC9">
        <v>51647.838709677417</v>
      </c>
      <c r="BD9">
        <v>58788.612903225803</v>
      </c>
      <c r="BE9">
        <v>34968.290322580637</v>
      </c>
      <c r="BF9">
        <v>40325.290322580637</v>
      </c>
      <c r="BG9">
        <v>56660.290322580637</v>
      </c>
      <c r="BH9">
        <v>50954.483870967742</v>
      </c>
      <c r="BI9">
        <v>59325.129032258068</v>
      </c>
      <c r="BJ9">
        <v>40647.483870967742</v>
      </c>
      <c r="BK9">
        <v>37381.967741935478</v>
      </c>
      <c r="BL9">
        <v>481493.22580645158</v>
      </c>
      <c r="BM9">
        <v>527645.16129032255</v>
      </c>
      <c r="BN9">
        <v>507130.32258064521</v>
      </c>
      <c r="BO9">
        <v>393619.67741935479</v>
      </c>
      <c r="BP9">
        <v>471726.77419354842</v>
      </c>
      <c r="BQ9">
        <v>514836.77419354842</v>
      </c>
      <c r="BR9">
        <v>529361.61290322582</v>
      </c>
      <c r="BS9">
        <v>398610.96774193551</v>
      </c>
      <c r="BT9">
        <v>481482.25806451612</v>
      </c>
      <c r="BU9">
        <v>413566.45161290321</v>
      </c>
      <c r="BV9">
        <v>421533.22580645158</v>
      </c>
      <c r="BW9">
        <v>460984.51612903218</v>
      </c>
      <c r="BX9">
        <v>585688.38709677418</v>
      </c>
      <c r="BY9">
        <v>509502.25806451612</v>
      </c>
      <c r="BZ9">
        <v>450201.93548387103</v>
      </c>
      <c r="CA9">
        <v>650531.22580645164</v>
      </c>
      <c r="CB9">
        <v>440106.19354838709</v>
      </c>
      <c r="CC9">
        <v>497828.51612903218</v>
      </c>
      <c r="CD9">
        <v>723065.80645161285</v>
      </c>
      <c r="CE9">
        <v>691218.58064516133</v>
      </c>
      <c r="CF9">
        <v>433940.51612903218</v>
      </c>
      <c r="CG9">
        <v>490175.61290322582</v>
      </c>
      <c r="CH9">
        <v>691414.83870967745</v>
      </c>
      <c r="CI9">
        <v>473409.67741935479</v>
      </c>
      <c r="CJ9">
        <v>494668.6451612903</v>
      </c>
      <c r="CK9">
        <v>719928.38709677418</v>
      </c>
      <c r="CL9">
        <v>476946.58064516127</v>
      </c>
      <c r="CM9">
        <v>537930.58064516133</v>
      </c>
      <c r="CN9">
        <v>586690.83870967745</v>
      </c>
      <c r="CO9">
        <v>523880.51612903218</v>
      </c>
      <c r="CP9">
        <v>516661.61290322582</v>
      </c>
      <c r="CQ9">
        <v>6716043.5483870972</v>
      </c>
      <c r="CR9">
        <v>7328229.0322580636</v>
      </c>
      <c r="CS9">
        <v>11709380</v>
      </c>
      <c r="CT9">
        <v>6864774.5161290327</v>
      </c>
      <c r="CU9">
        <v>8106898.064516129</v>
      </c>
      <c r="CV9">
        <v>7446944.1935483869</v>
      </c>
      <c r="CW9">
        <v>8246794.5161290327</v>
      </c>
      <c r="CX9">
        <v>4651592.2580645159</v>
      </c>
      <c r="CY9">
        <v>9484670</v>
      </c>
      <c r="CZ9">
        <v>6419989.3548387093</v>
      </c>
      <c r="DA9">
        <v>7670821.935483871</v>
      </c>
      <c r="DB9">
        <v>8469014.1935483869</v>
      </c>
      <c r="DC9">
        <v>11063295.806451609</v>
      </c>
      <c r="DD9">
        <v>8248113.2258064514</v>
      </c>
      <c r="DE9">
        <v>9310587.4193548393</v>
      </c>
      <c r="DF9">
        <v>9358072.2580645159</v>
      </c>
      <c r="DG9">
        <v>8256299.2258064514</v>
      </c>
      <c r="DH9">
        <v>13876361.032258069</v>
      </c>
      <c r="DI9">
        <v>11207080.25806452</v>
      </c>
      <c r="DJ9">
        <v>12644389.16129032</v>
      </c>
      <c r="DK9">
        <v>8581701.2903225813</v>
      </c>
      <c r="DL9">
        <v>4822957.1612903224</v>
      </c>
      <c r="DM9">
        <v>9056190.1935483869</v>
      </c>
      <c r="DN9">
        <v>8042363.2258064514</v>
      </c>
      <c r="DO9">
        <v>6519209.8064516131</v>
      </c>
      <c r="DP9">
        <v>14669560.64516129</v>
      </c>
      <c r="DQ9">
        <v>8641065.6774193551</v>
      </c>
      <c r="DR9">
        <v>10234753.548387101</v>
      </c>
      <c r="DS9">
        <v>11062485.677419361</v>
      </c>
      <c r="DT9">
        <v>7434102.5806451617</v>
      </c>
      <c r="DU9">
        <v>6620700.3225806449</v>
      </c>
    </row>
    <row r="10" spans="1:125" ht="15" customHeight="1" x14ac:dyDescent="0.25">
      <c r="A10" t="s">
        <v>11</v>
      </c>
      <c r="B10">
        <v>19774.22580645161</v>
      </c>
      <c r="C10">
        <v>16195.709677419351</v>
      </c>
      <c r="D10">
        <v>19267.580645161292</v>
      </c>
      <c r="E10">
        <v>23238.38709677419</v>
      </c>
      <c r="F10">
        <v>20200.419354838708</v>
      </c>
      <c r="G10">
        <v>22775.645161290318</v>
      </c>
      <c r="H10">
        <v>21055.77419354839</v>
      </c>
      <c r="I10">
        <v>15386.93548387097</v>
      </c>
      <c r="J10">
        <v>25578.516129032261</v>
      </c>
      <c r="K10">
        <v>23803.677419354841</v>
      </c>
      <c r="L10">
        <v>15238.967741935479</v>
      </c>
      <c r="M10">
        <v>17886.16129032258</v>
      </c>
      <c r="N10">
        <v>22748.032258064519</v>
      </c>
      <c r="O10">
        <v>26608.16129032258</v>
      </c>
      <c r="P10">
        <v>16236.61290322581</v>
      </c>
      <c r="Q10">
        <v>20587.741935483871</v>
      </c>
      <c r="R10">
        <v>22218.38709677419</v>
      </c>
      <c r="S10">
        <v>28983.548387096769</v>
      </c>
      <c r="T10">
        <v>21027.096774193549</v>
      </c>
      <c r="U10">
        <v>19177.096774193549</v>
      </c>
      <c r="V10">
        <v>22908.06451612903</v>
      </c>
      <c r="W10">
        <v>23893.548387096769</v>
      </c>
      <c r="X10">
        <v>22193.548387096769</v>
      </c>
      <c r="Y10">
        <v>22386.129032258061</v>
      </c>
      <c r="Z10">
        <v>20678.06451612903</v>
      </c>
      <c r="AA10">
        <v>25685.806451612902</v>
      </c>
      <c r="AB10">
        <v>22813.870967741939</v>
      </c>
      <c r="AC10">
        <v>20870.645161290318</v>
      </c>
      <c r="AD10">
        <v>28810.322580645159</v>
      </c>
      <c r="AE10">
        <v>22186.129032258061</v>
      </c>
      <c r="AF10">
        <v>18757.29032258064</v>
      </c>
      <c r="AG10">
        <v>44503.516129032258</v>
      </c>
      <c r="AH10">
        <v>52829.806451612902</v>
      </c>
      <c r="AI10">
        <v>34330.548387096773</v>
      </c>
      <c r="AJ10">
        <v>41447.870967741932</v>
      </c>
      <c r="AK10">
        <v>24057.16129032258</v>
      </c>
      <c r="AL10">
        <v>46018.645161290333</v>
      </c>
      <c r="AM10">
        <v>46586.548387096773</v>
      </c>
      <c r="AN10">
        <v>47264.225806451614</v>
      </c>
      <c r="AO10">
        <v>52870.129032258068</v>
      </c>
      <c r="AP10">
        <v>39485.258064516129</v>
      </c>
      <c r="AQ10">
        <v>45509.354838709667</v>
      </c>
      <c r="AR10">
        <v>40607.612903225803</v>
      </c>
      <c r="AS10">
        <v>43788.612903225803</v>
      </c>
      <c r="AT10">
        <v>50242.967741935478</v>
      </c>
      <c r="AU10">
        <v>41991.483870967742</v>
      </c>
      <c r="AV10">
        <v>52148.870967741932</v>
      </c>
      <c r="AW10">
        <v>48472.741935483871</v>
      </c>
      <c r="AX10">
        <v>57355.774193548386</v>
      </c>
      <c r="AY10">
        <v>59428.387096774197</v>
      </c>
      <c r="AZ10">
        <v>58742.129032258068</v>
      </c>
      <c r="BA10">
        <v>44826.774193548386</v>
      </c>
      <c r="BB10">
        <v>40929.225806451614</v>
      </c>
      <c r="BC10">
        <v>64985.870967741932</v>
      </c>
      <c r="BD10">
        <v>48449.677419354841</v>
      </c>
      <c r="BE10">
        <v>58998.677419354841</v>
      </c>
      <c r="BF10">
        <v>47903.225806451614</v>
      </c>
      <c r="BG10">
        <v>65432.258064516129</v>
      </c>
      <c r="BH10">
        <v>50766.06451612903</v>
      </c>
      <c r="BI10">
        <v>43049.387096774197</v>
      </c>
      <c r="BJ10">
        <v>44421.193548387098</v>
      </c>
      <c r="BK10">
        <v>39099.129032258068</v>
      </c>
      <c r="BL10">
        <v>384881.29032258072</v>
      </c>
      <c r="BM10">
        <v>530471.61290322582</v>
      </c>
      <c r="BN10">
        <v>430451.29032258072</v>
      </c>
      <c r="BO10">
        <v>440565.16129032261</v>
      </c>
      <c r="BP10">
        <v>425827.74193548388</v>
      </c>
      <c r="BQ10">
        <v>414977.74193548388</v>
      </c>
      <c r="BR10">
        <v>659573.87096774194</v>
      </c>
      <c r="BS10">
        <v>412070.6451612903</v>
      </c>
      <c r="BT10">
        <v>357982.90322580643</v>
      </c>
      <c r="BU10">
        <v>503109.03225806449</v>
      </c>
      <c r="BV10">
        <v>555857.74193548388</v>
      </c>
      <c r="BW10">
        <v>524985.48387096776</v>
      </c>
      <c r="BX10">
        <v>532420.32258064521</v>
      </c>
      <c r="BY10">
        <v>569030</v>
      </c>
      <c r="BZ10">
        <v>438799.3548387097</v>
      </c>
      <c r="CA10">
        <v>464766.58064516127</v>
      </c>
      <c r="CB10">
        <v>578706.96774193551</v>
      </c>
      <c r="CC10">
        <v>833500.6451612903</v>
      </c>
      <c r="CD10">
        <v>667938.19354838715</v>
      </c>
      <c r="CE10">
        <v>677502.19354838715</v>
      </c>
      <c r="CF10">
        <v>462708.38709677418</v>
      </c>
      <c r="CG10">
        <v>536644.25806451612</v>
      </c>
      <c r="CH10">
        <v>517292.12903225812</v>
      </c>
      <c r="CI10">
        <v>636912.77419354836</v>
      </c>
      <c r="CJ10">
        <v>580693.93548387091</v>
      </c>
      <c r="CK10">
        <v>523412.90322580643</v>
      </c>
      <c r="CL10">
        <v>401359.3548387097</v>
      </c>
      <c r="CM10">
        <v>570545.80645161285</v>
      </c>
      <c r="CN10">
        <v>354949.54838709679</v>
      </c>
      <c r="CO10">
        <v>671130.19354838715</v>
      </c>
      <c r="CP10">
        <v>444434.83870967739</v>
      </c>
      <c r="CQ10">
        <v>6481700.9677419364</v>
      </c>
      <c r="CR10">
        <v>8122591.6129032262</v>
      </c>
      <c r="CS10">
        <v>7574899.3548387093</v>
      </c>
      <c r="CT10">
        <v>5032622.2580645159</v>
      </c>
      <c r="CU10">
        <v>6654484.5161290327</v>
      </c>
      <c r="CV10">
        <v>6798752.5806451617</v>
      </c>
      <c r="CW10">
        <v>6262662.2580645159</v>
      </c>
      <c r="CX10">
        <v>10348585.48387097</v>
      </c>
      <c r="CY10">
        <v>6899954.5161290327</v>
      </c>
      <c r="CZ10">
        <v>6632589.0322580636</v>
      </c>
      <c r="DA10">
        <v>6257685.1612903224</v>
      </c>
      <c r="DB10">
        <v>7338434.5161290327</v>
      </c>
      <c r="DC10">
        <v>7834804.5161290327</v>
      </c>
      <c r="DD10">
        <v>9718957.4193548393</v>
      </c>
      <c r="DE10">
        <v>7697855.8064516131</v>
      </c>
      <c r="DF10">
        <v>16206364.25806452</v>
      </c>
      <c r="DG10">
        <v>7262264.9032258065</v>
      </c>
      <c r="DH10">
        <v>11494962.193548391</v>
      </c>
      <c r="DI10">
        <v>11426840.903225809</v>
      </c>
      <c r="DJ10">
        <v>11811503.61290323</v>
      </c>
      <c r="DK10">
        <v>7266735.0967741935</v>
      </c>
      <c r="DL10">
        <v>5689857.2903225804</v>
      </c>
      <c r="DM10">
        <v>9246949.5483870972</v>
      </c>
      <c r="DN10">
        <v>8955243.0967741944</v>
      </c>
      <c r="DO10">
        <v>9137223.0967741944</v>
      </c>
      <c r="DP10">
        <v>8138290.8387096776</v>
      </c>
      <c r="DQ10">
        <v>16727893.16129032</v>
      </c>
      <c r="DR10">
        <v>10086795.096774191</v>
      </c>
      <c r="DS10">
        <v>9577091.6129032262</v>
      </c>
      <c r="DT10">
        <v>12833072.12903226</v>
      </c>
      <c r="DU10">
        <v>9155855.8064516131</v>
      </c>
    </row>
    <row r="11" spans="1:125" ht="15" customHeight="1" x14ac:dyDescent="0.25">
      <c r="A11" t="s">
        <v>12</v>
      </c>
      <c r="B11">
        <v>18205.16129032258</v>
      </c>
      <c r="C11">
        <v>21644.93548387097</v>
      </c>
      <c r="D11">
        <v>21077.903225806451</v>
      </c>
      <c r="E11">
        <v>20946.258064516129</v>
      </c>
      <c r="F11">
        <v>18030.83870967742</v>
      </c>
      <c r="G11">
        <v>18104.93548387097</v>
      </c>
      <c r="H11">
        <v>21459.129032258061</v>
      </c>
      <c r="I11">
        <v>20439.70967741936</v>
      </c>
      <c r="J11">
        <v>21988.129032258061</v>
      </c>
      <c r="K11">
        <v>19346.903225806451</v>
      </c>
      <c r="L11">
        <v>23144.645161290318</v>
      </c>
      <c r="M11">
        <v>18577.806451612902</v>
      </c>
      <c r="N11">
        <v>20174.645161290318</v>
      </c>
      <c r="O11">
        <v>17139.354838709682</v>
      </c>
      <c r="P11">
        <v>24193.451612903231</v>
      </c>
      <c r="Q11">
        <v>28258.70967741936</v>
      </c>
      <c r="R11">
        <v>22336.77419354839</v>
      </c>
      <c r="S11">
        <v>18914.83870967742</v>
      </c>
      <c r="T11">
        <v>26218.38709677419</v>
      </c>
      <c r="U11">
        <v>18161.29032258064</v>
      </c>
      <c r="V11">
        <v>25637.096774193549</v>
      </c>
      <c r="W11">
        <v>24126.451612903231</v>
      </c>
      <c r="X11">
        <v>24807.419354838708</v>
      </c>
      <c r="Y11">
        <v>18636.129032258061</v>
      </c>
      <c r="Z11">
        <v>25450.967741935481</v>
      </c>
      <c r="AA11">
        <v>27368.70967741936</v>
      </c>
      <c r="AB11">
        <v>22116.129032258061</v>
      </c>
      <c r="AC11">
        <v>18849.032258064519</v>
      </c>
      <c r="AD11">
        <v>23050</v>
      </c>
      <c r="AE11">
        <v>23639.354838709682</v>
      </c>
      <c r="AF11">
        <v>17651.870967741939</v>
      </c>
      <c r="AG11">
        <v>62244.419354838712</v>
      </c>
      <c r="AH11">
        <v>48183</v>
      </c>
      <c r="AI11">
        <v>40728.258064516129</v>
      </c>
      <c r="AJ11">
        <v>43806.903225806447</v>
      </c>
      <c r="AK11">
        <v>41797.93548387097</v>
      </c>
      <c r="AL11">
        <v>36068.258064516129</v>
      </c>
      <c r="AM11">
        <v>33539.387096774197</v>
      </c>
      <c r="AN11">
        <v>43962.322580645159</v>
      </c>
      <c r="AO11">
        <v>47511.967741935478</v>
      </c>
      <c r="AP11">
        <v>55987.580645161288</v>
      </c>
      <c r="AQ11">
        <v>35070.516129032258</v>
      </c>
      <c r="AR11">
        <v>41805.161290322583</v>
      </c>
      <c r="AS11">
        <v>47154.032258064522</v>
      </c>
      <c r="AT11">
        <v>42267.548387096773</v>
      </c>
      <c r="AU11">
        <v>57188.225806451614</v>
      </c>
      <c r="AV11">
        <v>64337.580645161288</v>
      </c>
      <c r="AW11">
        <v>60566</v>
      </c>
      <c r="AX11">
        <v>57148.903225806447</v>
      </c>
      <c r="AY11">
        <v>38109.677419354841</v>
      </c>
      <c r="AZ11">
        <v>63736.129032258068</v>
      </c>
      <c r="BA11">
        <v>66446.387096774197</v>
      </c>
      <c r="BB11">
        <v>55339.225806451614</v>
      </c>
      <c r="BC11">
        <v>49555</v>
      </c>
      <c r="BD11">
        <v>34490.322580645159</v>
      </c>
      <c r="BE11">
        <v>49976.193548387098</v>
      </c>
      <c r="BF11">
        <v>41588.161290322583</v>
      </c>
      <c r="BG11">
        <v>50681.967741935478</v>
      </c>
      <c r="BH11">
        <v>41033.903225806447</v>
      </c>
      <c r="BI11">
        <v>41590.645161290333</v>
      </c>
      <c r="BJ11">
        <v>52509.387096774197</v>
      </c>
      <c r="BK11">
        <v>28984.580645161292</v>
      </c>
      <c r="BL11">
        <v>402565.48387096782</v>
      </c>
      <c r="BM11">
        <v>485492.25806451612</v>
      </c>
      <c r="BN11">
        <v>431295.80645161291</v>
      </c>
      <c r="BO11">
        <v>457807.09677419357</v>
      </c>
      <c r="BP11">
        <v>545275.48387096776</v>
      </c>
      <c r="BQ11">
        <v>384583.22580645158</v>
      </c>
      <c r="BR11">
        <v>469865.80645161291</v>
      </c>
      <c r="BS11">
        <v>429634.19354838709</v>
      </c>
      <c r="BT11">
        <v>535801.93548387091</v>
      </c>
      <c r="BU11">
        <v>404440.96774193551</v>
      </c>
      <c r="BV11">
        <v>456830.6451612903</v>
      </c>
      <c r="BW11">
        <v>599411.61290322582</v>
      </c>
      <c r="BX11">
        <v>691635.16129032255</v>
      </c>
      <c r="BY11">
        <v>376507.09677419357</v>
      </c>
      <c r="BZ11">
        <v>423632.90322580643</v>
      </c>
      <c r="CA11">
        <v>636203.61290322582</v>
      </c>
      <c r="CB11">
        <v>408337.93548387103</v>
      </c>
      <c r="CC11">
        <v>814006.06451612909</v>
      </c>
      <c r="CD11">
        <v>494891.61290322582</v>
      </c>
      <c r="CE11">
        <v>659563.3548387097</v>
      </c>
      <c r="CF11">
        <v>522192.77419354842</v>
      </c>
      <c r="CG11">
        <v>553352.51612903224</v>
      </c>
      <c r="CH11">
        <v>484554.58064516127</v>
      </c>
      <c r="CI11">
        <v>570533.80645161285</v>
      </c>
      <c r="CJ11">
        <v>658493.41935483867</v>
      </c>
      <c r="CK11">
        <v>635045.41935483867</v>
      </c>
      <c r="CL11">
        <v>551075.22580645164</v>
      </c>
      <c r="CM11">
        <v>564039.09677419357</v>
      </c>
      <c r="CN11">
        <v>597105.29032258061</v>
      </c>
      <c r="CO11">
        <v>485617.54838709679</v>
      </c>
      <c r="CP11">
        <v>399869.03225806449</v>
      </c>
      <c r="CQ11">
        <v>8475943.2258064523</v>
      </c>
      <c r="CR11">
        <v>8500676.7741935477</v>
      </c>
      <c r="CS11">
        <v>8725319.3548387103</v>
      </c>
      <c r="CT11">
        <v>7768351.2903225804</v>
      </c>
      <c r="CU11">
        <v>5919310</v>
      </c>
      <c r="CV11">
        <v>6738408.064516129</v>
      </c>
      <c r="CW11">
        <v>10675430.64516129</v>
      </c>
      <c r="CX11">
        <v>11006848.709677421</v>
      </c>
      <c r="CY11">
        <v>7935735.8064516131</v>
      </c>
      <c r="CZ11">
        <v>6124689.0322580636</v>
      </c>
      <c r="DA11">
        <v>6919004.1935483869</v>
      </c>
      <c r="DB11">
        <v>6691357.7419354841</v>
      </c>
      <c r="DC11">
        <v>6445088.064516129</v>
      </c>
      <c r="DD11">
        <v>8986681.935483871</v>
      </c>
      <c r="DE11">
        <v>10297803.548387101</v>
      </c>
      <c r="DF11">
        <v>11937014.709677421</v>
      </c>
      <c r="DG11">
        <v>9208390.4516129028</v>
      </c>
      <c r="DH11">
        <v>9523515.4838709682</v>
      </c>
      <c r="DI11">
        <v>9438997.5483870972</v>
      </c>
      <c r="DJ11">
        <v>11065426.83870968</v>
      </c>
      <c r="DK11">
        <v>8734177.935483871</v>
      </c>
      <c r="DL11">
        <v>10655967.48387097</v>
      </c>
      <c r="DM11">
        <v>6671957.4193548383</v>
      </c>
      <c r="DN11">
        <v>11361747.87096774</v>
      </c>
      <c r="DO11">
        <v>10020315.87096774</v>
      </c>
      <c r="DP11">
        <v>10841568</v>
      </c>
      <c r="DQ11">
        <v>5744609.8064516131</v>
      </c>
      <c r="DR11">
        <v>15780298.064516131</v>
      </c>
      <c r="DS11">
        <v>6050405.0322580636</v>
      </c>
      <c r="DT11">
        <v>9086052.7741935477</v>
      </c>
      <c r="DU11">
        <v>5718988.7096774196</v>
      </c>
    </row>
    <row r="12" spans="1:125" ht="15" customHeight="1" x14ac:dyDescent="0.25">
      <c r="A12" t="s">
        <v>13</v>
      </c>
      <c r="B12">
        <v>20310.870967741939</v>
      </c>
      <c r="C12">
        <v>16656.06451612903</v>
      </c>
      <c r="D12">
        <v>19862.645161290318</v>
      </c>
      <c r="E12">
        <v>25406.741935483871</v>
      </c>
      <c r="F12">
        <v>23035.419354838708</v>
      </c>
      <c r="G12">
        <v>23293.903225806451</v>
      </c>
      <c r="H12">
        <v>17550.38709677419</v>
      </c>
      <c r="I12">
        <v>18800.29032258064</v>
      </c>
      <c r="J12">
        <v>20561.483870967739</v>
      </c>
      <c r="K12">
        <v>21330.38709677419</v>
      </c>
      <c r="L12">
        <v>18654.93548387097</v>
      </c>
      <c r="M12">
        <v>19632.29032258064</v>
      </c>
      <c r="N12">
        <v>20579.70967741936</v>
      </c>
      <c r="O12">
        <v>20224.322580645159</v>
      </c>
      <c r="P12">
        <v>20366.22580645161</v>
      </c>
      <c r="Q12">
        <v>22336.451612903231</v>
      </c>
      <c r="R12">
        <v>29545.16129032258</v>
      </c>
      <c r="S12">
        <v>18685.806451612902</v>
      </c>
      <c r="T12">
        <v>23451.29032258064</v>
      </c>
      <c r="U12">
        <v>16823.548387096769</v>
      </c>
      <c r="V12">
        <v>26028.06451612903</v>
      </c>
      <c r="W12">
        <v>21902.580645161292</v>
      </c>
      <c r="X12">
        <v>24502.258064516129</v>
      </c>
      <c r="Y12">
        <v>19786.129032258061</v>
      </c>
      <c r="Z12">
        <v>20497.741935483871</v>
      </c>
      <c r="AA12">
        <v>21811.93548387097</v>
      </c>
      <c r="AB12">
        <v>23427.419354838708</v>
      </c>
      <c r="AC12">
        <v>22320.967741935481</v>
      </c>
      <c r="AD12">
        <v>23347.419354838708</v>
      </c>
      <c r="AE12">
        <v>26286.451612903231</v>
      </c>
      <c r="AF12">
        <v>21542.451612903231</v>
      </c>
      <c r="AG12">
        <v>34831.419354838712</v>
      </c>
      <c r="AH12">
        <v>42271.580645161288</v>
      </c>
      <c r="AI12">
        <v>40526.516129032258</v>
      </c>
      <c r="AJ12">
        <v>54972.161290322583</v>
      </c>
      <c r="AK12">
        <v>39416.838709677417</v>
      </c>
      <c r="AL12">
        <v>42721.645161290333</v>
      </c>
      <c r="AM12">
        <v>31388.677419354841</v>
      </c>
      <c r="AN12">
        <v>46959.93548387097</v>
      </c>
      <c r="AO12">
        <v>43534.032258064522</v>
      </c>
      <c r="AP12">
        <v>47677.290322580637</v>
      </c>
      <c r="AQ12">
        <v>44222.870967741932</v>
      </c>
      <c r="AR12">
        <v>35120.709677419363</v>
      </c>
      <c r="AS12">
        <v>50500.387096774197</v>
      </c>
      <c r="AT12">
        <v>37280.096774193553</v>
      </c>
      <c r="AU12">
        <v>46733.741935483871</v>
      </c>
      <c r="AV12">
        <v>57632.903225806447</v>
      </c>
      <c r="AW12">
        <v>50215</v>
      </c>
      <c r="AX12">
        <v>50512</v>
      </c>
      <c r="AY12">
        <v>41772.677419354841</v>
      </c>
      <c r="AZ12">
        <v>44760.06451612903</v>
      </c>
      <c r="BA12">
        <v>82121.741935483864</v>
      </c>
      <c r="BB12">
        <v>47815.580645161288</v>
      </c>
      <c r="BC12">
        <v>60726.387096774197</v>
      </c>
      <c r="BD12">
        <v>46093.903225806447</v>
      </c>
      <c r="BE12">
        <v>45654.967741935478</v>
      </c>
      <c r="BF12">
        <v>54062.870967741932</v>
      </c>
      <c r="BG12">
        <v>54449.645161290333</v>
      </c>
      <c r="BH12">
        <v>46583.225806451614</v>
      </c>
      <c r="BI12">
        <v>56472.225806451614</v>
      </c>
      <c r="BJ12">
        <v>54100.129032258068</v>
      </c>
      <c r="BK12">
        <v>46589.451612903227</v>
      </c>
      <c r="BL12">
        <v>478326.77419354842</v>
      </c>
      <c r="BM12">
        <v>462399.67741935479</v>
      </c>
      <c r="BN12">
        <v>532752.25806451612</v>
      </c>
      <c r="BO12">
        <v>402073.54838709679</v>
      </c>
      <c r="BP12">
        <v>329413.22580645158</v>
      </c>
      <c r="BQ12">
        <v>493514.19354838709</v>
      </c>
      <c r="BR12">
        <v>425578.38709677418</v>
      </c>
      <c r="BS12">
        <v>568998.38709677418</v>
      </c>
      <c r="BT12">
        <v>534740.32258064521</v>
      </c>
      <c r="BU12">
        <v>393524.83870967739</v>
      </c>
      <c r="BV12">
        <v>502398.70967741928</v>
      </c>
      <c r="BW12">
        <v>429228.06451612897</v>
      </c>
      <c r="BX12">
        <v>642941.29032258061</v>
      </c>
      <c r="BY12">
        <v>391705.48387096782</v>
      </c>
      <c r="BZ12">
        <v>485133.87096774188</v>
      </c>
      <c r="CA12">
        <v>462855.87096774188</v>
      </c>
      <c r="CB12">
        <v>584665.93548387091</v>
      </c>
      <c r="CC12">
        <v>396621.29032258072</v>
      </c>
      <c r="CD12">
        <v>604859.61290322582</v>
      </c>
      <c r="CE12">
        <v>587805.67741935479</v>
      </c>
      <c r="CF12">
        <v>334151.61290322582</v>
      </c>
      <c r="CG12">
        <v>676843.3548387097</v>
      </c>
      <c r="CH12">
        <v>893083.74193548388</v>
      </c>
      <c r="CI12">
        <v>622189.93548387091</v>
      </c>
      <c r="CJ12">
        <v>611639.22580645164</v>
      </c>
      <c r="CK12">
        <v>556049.41935483867</v>
      </c>
      <c r="CL12">
        <v>684834.19354838715</v>
      </c>
      <c r="CM12">
        <v>572052</v>
      </c>
      <c r="CN12">
        <v>540850.06451612909</v>
      </c>
      <c r="CO12">
        <v>508726.83870967739</v>
      </c>
      <c r="CP12">
        <v>420072.58064516127</v>
      </c>
      <c r="CQ12">
        <v>8380474.8387096776</v>
      </c>
      <c r="CR12">
        <v>7643805.4838709673</v>
      </c>
      <c r="CS12">
        <v>8917779.0322580654</v>
      </c>
      <c r="CT12">
        <v>6746068.3870967738</v>
      </c>
      <c r="CU12">
        <v>7707376.1290322579</v>
      </c>
      <c r="CV12">
        <v>8862939.3548387103</v>
      </c>
      <c r="CW12">
        <v>5937133.2258064514</v>
      </c>
      <c r="CX12">
        <v>8720910</v>
      </c>
      <c r="CY12">
        <v>8691313.2258064523</v>
      </c>
      <c r="CZ12">
        <v>6221800.3225806449</v>
      </c>
      <c r="DA12">
        <v>12418758.709677421</v>
      </c>
      <c r="DB12">
        <v>6476664.5161290327</v>
      </c>
      <c r="DC12">
        <v>5523963.5483870972</v>
      </c>
      <c r="DD12">
        <v>10325488.064516131</v>
      </c>
      <c r="DE12">
        <v>7446374.8387096776</v>
      </c>
      <c r="DF12">
        <v>11771502.580645161</v>
      </c>
      <c r="DG12">
        <v>9627807.8709677421</v>
      </c>
      <c r="DH12">
        <v>5820027.8709677421</v>
      </c>
      <c r="DI12">
        <v>13718404.25806452</v>
      </c>
      <c r="DJ12">
        <v>8776750.8387096766</v>
      </c>
      <c r="DK12">
        <v>7921895.2258064514</v>
      </c>
      <c r="DL12">
        <v>9938029.1612903234</v>
      </c>
      <c r="DM12">
        <v>13283879.61290323</v>
      </c>
      <c r="DN12">
        <v>12211012.25806452</v>
      </c>
      <c r="DO12">
        <v>7991092.6451612907</v>
      </c>
      <c r="DP12">
        <v>7758786.1935483869</v>
      </c>
      <c r="DQ12">
        <v>7801642.8387096776</v>
      </c>
      <c r="DR12">
        <v>8241973.1612903224</v>
      </c>
      <c r="DS12">
        <v>7930340.1290322579</v>
      </c>
      <c r="DT12">
        <v>9971890.8387096766</v>
      </c>
      <c r="DU12">
        <v>9704962.2580645159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2</cp:revision>
  <dcterms:created xsi:type="dcterms:W3CDTF">2015-06-05T18:17:20Z</dcterms:created>
  <dcterms:modified xsi:type="dcterms:W3CDTF">2025-04-22T20:19:36Z</dcterms:modified>
  <dc:language>en-US</dc:language>
</cp:coreProperties>
</file>