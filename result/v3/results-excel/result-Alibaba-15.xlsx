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ehrab\Desktop\QUEST\QUEST\result\v3\results-excel\"/>
    </mc:Choice>
  </mc:AlternateContent>
  <xr:revisionPtr revIDLastSave="0" documentId="8_{3363B9B5-4AB1-4331-B109-B6C72228026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harts" sheetId="1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</sheets>
  <externalReferences>
    <externalReference r:id="rId9"/>
  </externalReferenc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83" i="1" l="1"/>
  <c r="T75" i="1"/>
  <c r="T90" i="1" s="1"/>
  <c r="S75" i="1"/>
  <c r="S90" i="1" s="1"/>
  <c r="T74" i="1"/>
  <c r="T89" i="1" s="1"/>
  <c r="S74" i="1"/>
  <c r="S89" i="1" s="1"/>
  <c r="T73" i="1"/>
  <c r="T88" i="1" s="1"/>
  <c r="S73" i="1"/>
  <c r="S88" i="1" s="1"/>
  <c r="T72" i="1"/>
  <c r="S72" i="1"/>
  <c r="S87" i="1" s="1"/>
  <c r="T71" i="1"/>
  <c r="T86" i="1" s="1"/>
  <c r="S71" i="1"/>
  <c r="S86" i="1" s="1"/>
  <c r="T70" i="1"/>
  <c r="T85" i="1" s="1"/>
  <c r="S70" i="1"/>
  <c r="S85" i="1" s="1"/>
  <c r="T69" i="1"/>
  <c r="T84" i="1" s="1"/>
  <c r="S69" i="1"/>
  <c r="S84" i="1" s="1"/>
  <c r="T68" i="1"/>
  <c r="T87" i="1" s="1"/>
  <c r="S68" i="1"/>
  <c r="T44" i="1"/>
  <c r="T59" i="1" s="1"/>
  <c r="S44" i="1"/>
  <c r="S59" i="1" s="1"/>
  <c r="T43" i="1"/>
  <c r="T58" i="1" s="1"/>
  <c r="S43" i="1"/>
  <c r="S58" i="1" s="1"/>
  <c r="T42" i="1"/>
  <c r="T57" i="1" s="1"/>
  <c r="S42" i="1"/>
  <c r="S57" i="1" s="1"/>
  <c r="T41" i="1"/>
  <c r="T56" i="1" s="1"/>
  <c r="S41" i="1"/>
  <c r="S56" i="1" s="1"/>
  <c r="T40" i="1"/>
  <c r="T55" i="1" s="1"/>
  <c r="S40" i="1"/>
  <c r="S55" i="1" s="1"/>
  <c r="T39" i="1"/>
  <c r="T54" i="1" s="1"/>
  <c r="S39" i="1"/>
  <c r="S54" i="1" s="1"/>
  <c r="T38" i="1"/>
  <c r="T53" i="1" s="1"/>
  <c r="S38" i="1"/>
  <c r="S53" i="1" s="1"/>
  <c r="T37" i="1"/>
  <c r="T52" i="1" s="1"/>
  <c r="S37" i="1"/>
  <c r="S52" i="1" s="1"/>
  <c r="T10" i="1"/>
  <c r="T25" i="1" s="1"/>
  <c r="S10" i="1"/>
  <c r="S25" i="1" s="1"/>
  <c r="T9" i="1"/>
  <c r="T24" i="1" s="1"/>
  <c r="S9" i="1"/>
  <c r="S24" i="1" s="1"/>
  <c r="T8" i="1"/>
  <c r="T23" i="1" s="1"/>
  <c r="S8" i="1"/>
  <c r="S23" i="1" s="1"/>
  <c r="T7" i="1"/>
  <c r="T22" i="1" s="1"/>
  <c r="S7" i="1"/>
  <c r="S22" i="1" s="1"/>
  <c r="T6" i="1"/>
  <c r="T21" i="1" s="1"/>
  <c r="S6" i="1"/>
  <c r="S21" i="1" s="1"/>
  <c r="T5" i="1"/>
  <c r="T20" i="1" s="1"/>
  <c r="S5" i="1"/>
  <c r="S20" i="1" s="1"/>
  <c r="T4" i="1"/>
  <c r="T19" i="1" s="1"/>
  <c r="S4" i="1"/>
  <c r="S19" i="1" s="1"/>
  <c r="T3" i="1"/>
  <c r="T18" i="1" s="1"/>
  <c r="S3" i="1"/>
  <c r="S18" i="1" s="1"/>
  <c r="T83" i="1" l="1"/>
</calcChain>
</file>

<file path=xl/sharedStrings.xml><?xml version="1.0" encoding="utf-8"?>
<sst xmlns="http://schemas.openxmlformats.org/spreadsheetml/2006/main" count="475" uniqueCount="25">
  <si>
    <t>AoI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</si>
  <si>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</si>
  <si>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</si>
  <si>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</si>
  <si>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</si>
  <si>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</si>
  <si>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</si>
  <si>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</si>
  <si>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</si>
  <si>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Energy</t>
  </si>
  <si>
    <t>Makespan</t>
  </si>
  <si>
    <t>Algorithm</t>
  </si>
  <si>
    <t>Load</t>
  </si>
  <si>
    <t>Average</t>
  </si>
  <si>
    <t>Min</t>
  </si>
  <si>
    <t>Max</t>
  </si>
  <si>
    <t>Std Dev</t>
  </si>
  <si>
    <t>Summary by Algorithm</t>
  </si>
  <si>
    <t>Average data for chart</t>
  </si>
  <si>
    <t>Algorithms</t>
  </si>
  <si>
    <t>All data for chart</t>
  </si>
  <si>
    <t>Load 1</t>
  </si>
  <si>
    <t>Load 2</t>
  </si>
  <si>
    <t>Edge</t>
  </si>
  <si>
    <t>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</si>
</sst>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5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1"/>
      <name val="Calibri"/>
    </font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Charts!$S$18:$T$18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D-44D0-B9E8-1B48B609C6CD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Charts!$S$19:$T$19</c:f>
              <c:numCache>
                <c:formatCode>General</c:formatCode>
                <c:ptCount val="2"/>
                <c:pt idx="0">
                  <c:v>0.8456027340748038</c:v>
                </c:pt>
                <c:pt idx="1">
                  <c:v>0.82816791337538764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3D-44D0-B9E8-1B48B609C6CD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Charts!$S$20:$T$20</c:f>
              <c:numCache>
                <c:formatCode>General</c:formatCode>
                <c:ptCount val="2"/>
                <c:pt idx="0">
                  <c:v>2.1556369257491323</c:v>
                </c:pt>
                <c:pt idx="1">
                  <c:v>1.7039276805673518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3D-44D0-B9E8-1B48B609C6CD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Charts!$S$21:$T$21</c:f>
              <c:numCache>
                <c:formatCode>General</c:formatCode>
                <c:ptCount val="2"/>
                <c:pt idx="0">
                  <c:v>1.6515512422929632</c:v>
                </c:pt>
                <c:pt idx="1">
                  <c:v>1.4936455007583458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3D-44D0-B9E8-1B48B609C6CD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Charts!$S$22:$T$22</c:f>
              <c:numCache>
                <c:formatCode>General</c:formatCode>
                <c:ptCount val="2"/>
                <c:pt idx="0">
                  <c:v>1.8167461230959832</c:v>
                </c:pt>
                <c:pt idx="1">
                  <c:v>1.4404843753930634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3D-44D0-B9E8-1B48B609C6CD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Charts!$S$23:$T$23</c:f>
              <c:numCache>
                <c:formatCode>General</c:formatCode>
                <c:ptCount val="2"/>
                <c:pt idx="0">
                  <c:v>1.7801438289553602</c:v>
                </c:pt>
                <c:pt idx="1">
                  <c:v>1.2459480435139108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3D-44D0-B9E8-1B48B609C6CD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Charts!$S$24:$T$24</c:f>
              <c:numCache>
                <c:formatCode>General</c:formatCode>
                <c:ptCount val="2"/>
                <c:pt idx="0">
                  <c:v>2.1432822918367327</c:v>
                </c:pt>
                <c:pt idx="1">
                  <c:v>1.4417767746628583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3D-44D0-B9E8-1B48B609C6CD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Charts!$S$25:$T$25</c:f>
              <c:numCache>
                <c:formatCode>General</c:formatCode>
                <c:ptCount val="2"/>
                <c:pt idx="0">
                  <c:v>2.3360090891371645</c:v>
                </c:pt>
                <c:pt idx="1">
                  <c:v>1.6232869097801965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B3D-44D0-B9E8-1B48B609C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Alibaba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81"/>
              <c:y val="0.8487165370294493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5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3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Charts!$S$52:$T$52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B-4526-8F9E-A81D1CC01CBB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Charts!$S$53:$T$53</c:f>
              <c:numCache>
                <c:formatCode>General</c:formatCode>
                <c:ptCount val="2"/>
                <c:pt idx="0">
                  <c:v>1.0353064371959193</c:v>
                </c:pt>
                <c:pt idx="1">
                  <c:v>1.3847721914113733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DB-4526-8F9E-A81D1CC01CBB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Charts!$S$54:$T$54</c:f>
              <c:numCache>
                <c:formatCode>General</c:formatCode>
                <c:ptCount val="2"/>
                <c:pt idx="0">
                  <c:v>1.0178984765269052</c:v>
                </c:pt>
                <c:pt idx="1">
                  <c:v>1.7731467264196532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DB-4526-8F9E-A81D1CC01CBB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Charts!$S$55:$T$55</c:f>
              <c:numCache>
                <c:formatCode>General</c:formatCode>
                <c:ptCount val="2"/>
                <c:pt idx="0">
                  <c:v>1.2435784990030088</c:v>
                </c:pt>
                <c:pt idx="1">
                  <c:v>1.7084051641610816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DB-4526-8F9E-A81D1CC01CBB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Charts!$S$56:$T$56</c:f>
              <c:numCache>
                <c:formatCode>General</c:formatCode>
                <c:ptCount val="2"/>
                <c:pt idx="0">
                  <c:v>1.119887245343099</c:v>
                </c:pt>
                <c:pt idx="1">
                  <c:v>1.6940480418489066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DB-4526-8F9E-A81D1CC01CBB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Charts!$S$57:$T$57</c:f>
              <c:numCache>
                <c:formatCode>General</c:formatCode>
                <c:ptCount val="2"/>
                <c:pt idx="0">
                  <c:v>1.0512542929344766</c:v>
                </c:pt>
                <c:pt idx="1">
                  <c:v>1.6980640094273287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DB-4526-8F9E-A81D1CC01CBB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Charts!$S$58:$T$58</c:f>
              <c:numCache>
                <c:formatCode>General</c:formatCode>
                <c:ptCount val="2"/>
                <c:pt idx="0">
                  <c:v>1.1698500217684686</c:v>
                </c:pt>
                <c:pt idx="1">
                  <c:v>1.7935553459573523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DB-4526-8F9E-A81D1CC01CBB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Charts!$S$59:$T$59</c:f>
              <c:numCache>
                <c:formatCode>General</c:formatCode>
                <c:ptCount val="2"/>
                <c:pt idx="0">
                  <c:v>1.3080070427215036</c:v>
                </c:pt>
                <c:pt idx="1">
                  <c:v>1.8916649073579888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DB-4526-8F9E-A81D1CC01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Alibaba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81"/>
              <c:y val="0.8487165370294493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Charts!$S$83:$T$83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F-4012-A113-B87D0683C748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Charts!$S$84:$T$84</c:f>
              <c:numCache>
                <c:formatCode>General</c:formatCode>
                <c:ptCount val="2"/>
                <c:pt idx="0">
                  <c:v>1.0000675584246839</c:v>
                </c:pt>
                <c:pt idx="1">
                  <c:v>1.1504437459617147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8F-4012-A113-B87D0683C748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Charts!$S$85:$T$85</c:f>
              <c:numCache>
                <c:formatCode>General</c:formatCode>
                <c:ptCount val="2"/>
                <c:pt idx="0">
                  <c:v>0.88595128988123173</c:v>
                </c:pt>
                <c:pt idx="1">
                  <c:v>1.4674390277300673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8F-4012-A113-B87D0683C748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Charts!$S$86:$T$86</c:f>
              <c:numCache>
                <c:formatCode>General</c:formatCode>
                <c:ptCount val="2"/>
                <c:pt idx="0">
                  <c:v>1.1886966149965064</c:v>
                </c:pt>
                <c:pt idx="1">
                  <c:v>1.4233066255465634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8F-4012-A113-B87D0683C748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Charts!$S$87:$T$87</c:f>
              <c:numCache>
                <c:formatCode>General</c:formatCode>
                <c:ptCount val="2"/>
                <c:pt idx="0">
                  <c:v>1.191141774964569</c:v>
                </c:pt>
                <c:pt idx="1">
                  <c:v>1.4085505709164357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8F-4012-A113-B87D0683C748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Charts!$S$88:$T$88</c:f>
              <c:numCache>
                <c:formatCode>General</c:formatCode>
                <c:ptCount val="2"/>
                <c:pt idx="0">
                  <c:v>0.9927932075196978</c:v>
                </c:pt>
                <c:pt idx="1">
                  <c:v>1.4218337134936145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8F-4012-A113-B87D0683C748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Charts!$S$89:$T$89</c:f>
              <c:numCache>
                <c:formatCode>General</c:formatCode>
                <c:ptCount val="2"/>
                <c:pt idx="0">
                  <c:v>1.1088195100026035</c:v>
                </c:pt>
                <c:pt idx="1">
                  <c:v>1.5094870445778261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8F-4012-A113-B87D0683C748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Charts!$S$90:$T$90</c:f>
              <c:numCache>
                <c:formatCode>General</c:formatCode>
                <c:ptCount val="2"/>
                <c:pt idx="0">
                  <c:v>1.2403889980462459</c:v>
                </c:pt>
                <c:pt idx="1">
                  <c:v>1.5962195062133004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F8F-4012-A113-B87D0683C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Alibaba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81"/>
              <c:y val="0.8487165370294493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6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s"/>
      <sheetName val="Data Age"/>
      <sheetName val="Energy"/>
      <sheetName val="Makespan"/>
      <sheetName val="Success Rate"/>
      <sheetName val="Load Edge"/>
      <sheetName val="Load Cloud"/>
      <sheetName val="Loads"/>
    </sheetNames>
    <sheetDataSet>
      <sheetData sheetId="0" refreshError="1"/>
      <sheetData sheetId="1" refreshError="1"/>
      <sheetData sheetId="2" refreshError="1"/>
      <sheetData sheetId="3">
        <row r="37">
          <cell r="B37">
            <v>6021083.5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R2:T90"/>
  <sheetViews>
    <sheetView tabSelected="1" topLeftCell="A30" zoomScale="70" zoomScaleNormal="70" workbookViewId="0">
      <selection activeCell="X43" sqref="X43"/>
    </sheetView>
  </sheetViews>
  <sheetFormatPr defaultRowHeight="15" x14ac:dyDescent="0.25"/>
  <cols>
    <col min="19" max="19" width="12.28515625" bestFit="1" customWidth="1"/>
  </cols>
  <sheetData>
    <row r="2" spans="18:20" x14ac:dyDescent="0.25">
      <c r="R2" t="s">
        <v>0</v>
      </c>
      <c r="S2">
        <v>1000</v>
      </c>
      <c r="T2">
        <v>2000</v>
      </c>
    </row>
    <row r="3" spans="18:20" x14ac:dyDescent="0.25">
      <c r="R3" s="5" t="s">
        <v>1</v>
      </c>
      <c r="S3">
        <f>'Data Age'!B33</f>
        <v>239878.18367346941</v>
      </c>
      <c r="T3">
        <f>'Data Age'!C33</f>
        <v>3406149.2063983488</v>
      </c>
    </row>
    <row r="4" spans="18:20" x14ac:dyDescent="0.25">
      <c r="R4" s="5" t="s">
        <v>2</v>
      </c>
      <c r="S4">
        <f>'Data Age'!B34</f>
        <v>202841.6479591837</v>
      </c>
      <c r="T4">
        <f>'Data Age'!C34</f>
        <v>2820863.4809081531</v>
      </c>
    </row>
    <row r="5" spans="18:20" x14ac:dyDescent="0.25">
      <c r="R5" s="6" t="s">
        <v>3</v>
      </c>
      <c r="S5">
        <f>'Data Age'!B35</f>
        <v>517090.27040816331</v>
      </c>
      <c r="T5">
        <f>'Data Age'!C35</f>
        <v>5803831.9169246648</v>
      </c>
    </row>
    <row r="6" spans="18:20" x14ac:dyDescent="0.25">
      <c r="R6" s="5" t="s">
        <v>4</v>
      </c>
      <c r="S6">
        <f>'Data Age'!B36</f>
        <v>396171.11224489799</v>
      </c>
      <c r="T6">
        <f>'Data Age'!C36</f>
        <v>5087579.4370485041</v>
      </c>
    </row>
    <row r="7" spans="18:20" x14ac:dyDescent="0.25">
      <c r="R7" s="5" t="s">
        <v>5</v>
      </c>
      <c r="S7">
        <f>'Data Age'!B37</f>
        <v>435797.76020408171</v>
      </c>
      <c r="T7">
        <f>'Data Age'!C37</f>
        <v>4906504.712074304</v>
      </c>
    </row>
    <row r="8" spans="18:20" x14ac:dyDescent="0.25">
      <c r="R8" s="5" t="s">
        <v>6</v>
      </c>
      <c r="S8">
        <f>'Data Age'!B38</f>
        <v>427017.66836734698</v>
      </c>
      <c r="T8">
        <f>'Data Age'!C38</f>
        <v>4243884.9396284828</v>
      </c>
    </row>
    <row r="9" spans="18:20" x14ac:dyDescent="0.25">
      <c r="R9" s="6" t="s">
        <v>7</v>
      </c>
      <c r="S9">
        <f>'Data Age'!B39</f>
        <v>514126.66326530621</v>
      </c>
      <c r="T9">
        <f>'Data Age'!C39</f>
        <v>4910906.8168214653</v>
      </c>
    </row>
    <row r="10" spans="18:20" x14ac:dyDescent="0.25">
      <c r="R10" s="5" t="s">
        <v>8</v>
      </c>
      <c r="S10">
        <f>'Data Age'!B40</f>
        <v>560357.6173469387</v>
      </c>
      <c r="T10">
        <f>'Data Age'!C40</f>
        <v>5529157.4195046443</v>
      </c>
    </row>
    <row r="17" spans="18:20" x14ac:dyDescent="0.25">
      <c r="R17" t="s">
        <v>0</v>
      </c>
      <c r="S17">
        <v>1000</v>
      </c>
      <c r="T17">
        <v>2000</v>
      </c>
    </row>
    <row r="18" spans="18:20" x14ac:dyDescent="0.25">
      <c r="R18" s="5" t="s">
        <v>1</v>
      </c>
      <c r="S18">
        <f>S3/S3</f>
        <v>1</v>
      </c>
      <c r="T18">
        <f>T3/T3</f>
        <v>1</v>
      </c>
    </row>
    <row r="19" spans="18:20" x14ac:dyDescent="0.25">
      <c r="R19" s="5" t="s">
        <v>2</v>
      </c>
      <c r="S19">
        <f>S4/S3</f>
        <v>0.8456027340748038</v>
      </c>
      <c r="T19">
        <f>T4/T3</f>
        <v>0.82816791337538764</v>
      </c>
    </row>
    <row r="20" spans="18:20" x14ac:dyDescent="0.25">
      <c r="R20" s="6" t="s">
        <v>3</v>
      </c>
      <c r="S20">
        <f>S5/S3</f>
        <v>2.1556369257491323</v>
      </c>
      <c r="T20">
        <f>T5/T3</f>
        <v>1.7039276805673518</v>
      </c>
    </row>
    <row r="21" spans="18:20" x14ac:dyDescent="0.25">
      <c r="R21" s="5" t="s">
        <v>4</v>
      </c>
      <c r="S21">
        <f>S6/S3</f>
        <v>1.6515512422929632</v>
      </c>
      <c r="T21">
        <f>T6/T3</f>
        <v>1.4936455007583458</v>
      </c>
    </row>
    <row r="22" spans="18:20" x14ac:dyDescent="0.25">
      <c r="R22" s="5" t="s">
        <v>5</v>
      </c>
      <c r="S22">
        <f>S7/S3</f>
        <v>1.8167461230959832</v>
      </c>
      <c r="T22">
        <f>T7/T3</f>
        <v>1.4404843753930634</v>
      </c>
    </row>
    <row r="23" spans="18:20" x14ac:dyDescent="0.25">
      <c r="R23" s="5" t="s">
        <v>6</v>
      </c>
      <c r="S23">
        <f>S8/S3</f>
        <v>1.7801438289553602</v>
      </c>
      <c r="T23">
        <f>T8/T3</f>
        <v>1.2459480435139108</v>
      </c>
    </row>
    <row r="24" spans="18:20" x14ac:dyDescent="0.25">
      <c r="R24" s="6" t="s">
        <v>7</v>
      </c>
      <c r="S24">
        <f>S9/S3</f>
        <v>2.1432822918367327</v>
      </c>
      <c r="T24">
        <f>T9/T3</f>
        <v>1.4417767746628583</v>
      </c>
    </row>
    <row r="25" spans="18:20" x14ac:dyDescent="0.25">
      <c r="R25" s="5" t="s">
        <v>8</v>
      </c>
      <c r="S25">
        <f>S10/S3</f>
        <v>2.3360090891371645</v>
      </c>
      <c r="T25">
        <f>T10/T3</f>
        <v>1.6232869097801965</v>
      </c>
    </row>
    <row r="36" spans="18:20" x14ac:dyDescent="0.25">
      <c r="R36" t="s">
        <v>9</v>
      </c>
      <c r="S36">
        <v>1000</v>
      </c>
      <c r="T36">
        <v>2000</v>
      </c>
    </row>
    <row r="37" spans="18:20" x14ac:dyDescent="0.25">
      <c r="R37" s="5" t="s">
        <v>1</v>
      </c>
      <c r="S37">
        <f>Energy!B33</f>
        <v>2907121544.115128</v>
      </c>
      <c r="T37">
        <f>Energy!C33</f>
        <v>10189273929.865049</v>
      </c>
    </row>
    <row r="38" spans="18:20" x14ac:dyDescent="0.25">
      <c r="R38" s="5" t="s">
        <v>2</v>
      </c>
      <c r="S38">
        <f>Energy!B34</f>
        <v>3009761648.333333</v>
      </c>
      <c r="T38">
        <f>Energy!C34</f>
        <v>14109823188.75</v>
      </c>
    </row>
    <row r="39" spans="18:20" x14ac:dyDescent="0.25">
      <c r="R39" s="6" t="s">
        <v>3</v>
      </c>
      <c r="S39">
        <f>Energy!B35</f>
        <v>2959154590.833333</v>
      </c>
      <c r="T39">
        <f>Energy!C35</f>
        <v>18067077713.333328</v>
      </c>
    </row>
    <row r="40" spans="18:20" x14ac:dyDescent="0.25">
      <c r="R40" s="5" t="s">
        <v>4</v>
      </c>
      <c r="S40">
        <f>Energy!B36</f>
        <v>3615233846.25</v>
      </c>
      <c r="T40">
        <f>Energy!C36</f>
        <v>17407408200.833328</v>
      </c>
    </row>
    <row r="41" spans="18:20" x14ac:dyDescent="0.25">
      <c r="R41" s="5" t="s">
        <v>5</v>
      </c>
      <c r="S41">
        <f>Energy!B37</f>
        <v>3255648337.916667</v>
      </c>
      <c r="T41">
        <f>Energy!C37</f>
        <v>17261119548.75</v>
      </c>
    </row>
    <row r="42" spans="18:20" x14ac:dyDescent="0.25">
      <c r="R42" s="5" t="s">
        <v>6</v>
      </c>
      <c r="S42">
        <f>Energy!B38</f>
        <v>3056124003.333333</v>
      </c>
      <c r="T42">
        <f>Energy!C38</f>
        <v>17302039342.5</v>
      </c>
    </row>
    <row r="43" spans="18:20" x14ac:dyDescent="0.25">
      <c r="R43" s="6" t="s">
        <v>7</v>
      </c>
      <c r="S43">
        <f>Energy!B39</f>
        <v>3400896201.666667</v>
      </c>
      <c r="T43">
        <f>Energy!C39</f>
        <v>18275026728.33334</v>
      </c>
    </row>
    <row r="44" spans="18:20" x14ac:dyDescent="0.25">
      <c r="R44" s="5" t="s">
        <v>8</v>
      </c>
      <c r="S44">
        <f>Energy!B40</f>
        <v>3802535453.75</v>
      </c>
      <c r="T44">
        <f>Energy!C40</f>
        <v>19274691924.58334</v>
      </c>
    </row>
    <row r="51" spans="18:20" x14ac:dyDescent="0.25">
      <c r="R51" t="s">
        <v>9</v>
      </c>
      <c r="S51">
        <v>1000</v>
      </c>
      <c r="T51">
        <v>2000</v>
      </c>
    </row>
    <row r="52" spans="18:20" x14ac:dyDescent="0.25">
      <c r="R52" s="5" t="s">
        <v>1</v>
      </c>
      <c r="S52">
        <f>S37/S37</f>
        <v>1</v>
      </c>
      <c r="T52">
        <f>T37/T37</f>
        <v>1</v>
      </c>
    </row>
    <row r="53" spans="18:20" x14ac:dyDescent="0.25">
      <c r="R53" s="5" t="s">
        <v>2</v>
      </c>
      <c r="S53">
        <f>S38/S37</f>
        <v>1.0353064371959193</v>
      </c>
      <c r="T53">
        <f>T38/T37</f>
        <v>1.3847721914113733</v>
      </c>
    </row>
    <row r="54" spans="18:20" x14ac:dyDescent="0.25">
      <c r="R54" s="6" t="s">
        <v>3</v>
      </c>
      <c r="S54">
        <f>S39/S37</f>
        <v>1.0178984765269052</v>
      </c>
      <c r="T54">
        <f>T39/T37</f>
        <v>1.7731467264196532</v>
      </c>
    </row>
    <row r="55" spans="18:20" x14ac:dyDescent="0.25">
      <c r="R55" s="5" t="s">
        <v>4</v>
      </c>
      <c r="S55">
        <f>S40/S37</f>
        <v>1.2435784990030088</v>
      </c>
      <c r="T55">
        <f>T40/T37</f>
        <v>1.7084051641610816</v>
      </c>
    </row>
    <row r="56" spans="18:20" x14ac:dyDescent="0.25">
      <c r="R56" s="5" t="s">
        <v>5</v>
      </c>
      <c r="S56">
        <f>S41/S37</f>
        <v>1.119887245343099</v>
      </c>
      <c r="T56">
        <f>T41/T37</f>
        <v>1.6940480418489066</v>
      </c>
    </row>
    <row r="57" spans="18:20" x14ac:dyDescent="0.25">
      <c r="R57" s="5" t="s">
        <v>6</v>
      </c>
      <c r="S57">
        <f>S42/S37</f>
        <v>1.0512542929344766</v>
      </c>
      <c r="T57">
        <f>T42/T37</f>
        <v>1.6980640094273287</v>
      </c>
    </row>
    <row r="58" spans="18:20" x14ac:dyDescent="0.25">
      <c r="R58" s="6" t="s">
        <v>7</v>
      </c>
      <c r="S58">
        <f>S43/S37</f>
        <v>1.1698500217684686</v>
      </c>
      <c r="T58">
        <f>T43/T37</f>
        <v>1.7935553459573523</v>
      </c>
    </row>
    <row r="59" spans="18:20" x14ac:dyDescent="0.25">
      <c r="R59" s="5" t="s">
        <v>8</v>
      </c>
      <c r="S59">
        <f>S44/S37</f>
        <v>1.3080070427215036</v>
      </c>
      <c r="T59">
        <f>T44/T37</f>
        <v>1.8916649073579888</v>
      </c>
    </row>
    <row r="67" spans="18:20" x14ac:dyDescent="0.25">
      <c r="R67" t="s">
        <v>10</v>
      </c>
      <c r="S67">
        <v>1000</v>
      </c>
      <c r="T67">
        <v>2000</v>
      </c>
    </row>
    <row r="68" spans="18:20" x14ac:dyDescent="0.25">
      <c r="R68" s="5" t="s">
        <v>1</v>
      </c>
      <c r="S68">
        <f>Makespan!B33</f>
        <v>5054884</v>
      </c>
      <c r="T68">
        <f>Makespan!C33</f>
        <v>18786593.5</v>
      </c>
    </row>
    <row r="69" spans="18:20" x14ac:dyDescent="0.25">
      <c r="R69" s="5" t="s">
        <v>2</v>
      </c>
      <c r="S69">
        <f>Makespan!B34</f>
        <v>5055225.5</v>
      </c>
      <c r="T69">
        <f>Makespan!C34</f>
        <v>21612919</v>
      </c>
    </row>
    <row r="70" spans="18:20" x14ac:dyDescent="0.25">
      <c r="R70" s="6" t="s">
        <v>3</v>
      </c>
      <c r="S70">
        <f>Makespan!B35</f>
        <v>4478381</v>
      </c>
      <c r="T70">
        <f>Makespan!C35</f>
        <v>27568180.5</v>
      </c>
    </row>
    <row r="71" spans="18:20" x14ac:dyDescent="0.25">
      <c r="R71" s="5" t="s">
        <v>4</v>
      </c>
      <c r="S71">
        <f>Makespan!B36</f>
        <v>6008723.5</v>
      </c>
      <c r="T71">
        <f>Makespan!C36</f>
        <v>26739083</v>
      </c>
    </row>
    <row r="72" spans="18:20" x14ac:dyDescent="0.25">
      <c r="R72" s="5" t="s">
        <v>5</v>
      </c>
      <c r="S72">
        <f>[1]Makespan!B37</f>
        <v>6021083.5</v>
      </c>
      <c r="T72">
        <f>Makespan!C37</f>
        <v>26461867</v>
      </c>
    </row>
    <row r="73" spans="18:20" x14ac:dyDescent="0.25">
      <c r="R73" s="5" t="s">
        <v>6</v>
      </c>
      <c r="S73">
        <f>Makespan!B38</f>
        <v>5018454.5</v>
      </c>
      <c r="T73">
        <f>Makespan!C38</f>
        <v>26711412</v>
      </c>
    </row>
    <row r="74" spans="18:20" x14ac:dyDescent="0.25">
      <c r="R74" s="6" t="s">
        <v>7</v>
      </c>
      <c r="S74">
        <f>Makespan!B39</f>
        <v>5604954</v>
      </c>
      <c r="T74">
        <f>Makespan!C39</f>
        <v>28358119.5</v>
      </c>
    </row>
    <row r="75" spans="18:20" x14ac:dyDescent="0.25">
      <c r="R75" s="5" t="s">
        <v>8</v>
      </c>
      <c r="S75">
        <f>Makespan!B40</f>
        <v>6270022.5</v>
      </c>
      <c r="T75">
        <f>Makespan!C40</f>
        <v>29987527</v>
      </c>
    </row>
    <row r="82" spans="18:20" x14ac:dyDescent="0.25">
      <c r="R82" t="s">
        <v>10</v>
      </c>
      <c r="S82">
        <v>1000</v>
      </c>
      <c r="T82">
        <v>2000</v>
      </c>
    </row>
    <row r="83" spans="18:20" x14ac:dyDescent="0.25">
      <c r="R83" s="5" t="s">
        <v>1</v>
      </c>
      <c r="S83">
        <f>S68/S68</f>
        <v>1</v>
      </c>
      <c r="T83">
        <f>T68/T68</f>
        <v>1</v>
      </c>
    </row>
    <row r="84" spans="18:20" x14ac:dyDescent="0.25">
      <c r="R84" s="5" t="s">
        <v>2</v>
      </c>
      <c r="S84">
        <f>S69/S68</f>
        <v>1.0000675584246839</v>
      </c>
      <c r="T84">
        <f>T69/T68</f>
        <v>1.1504437459617147</v>
      </c>
    </row>
    <row r="85" spans="18:20" x14ac:dyDescent="0.25">
      <c r="R85" s="6" t="s">
        <v>3</v>
      </c>
      <c r="S85">
        <f>S70/S68</f>
        <v>0.88595128988123173</v>
      </c>
      <c r="T85">
        <f>T70/T68</f>
        <v>1.4674390277300673</v>
      </c>
    </row>
    <row r="86" spans="18:20" x14ac:dyDescent="0.25">
      <c r="R86" s="5" t="s">
        <v>4</v>
      </c>
      <c r="S86">
        <f>S71/S68</f>
        <v>1.1886966149965064</v>
      </c>
      <c r="T86">
        <f>T71/T68</f>
        <v>1.4233066255465634</v>
      </c>
    </row>
    <row r="87" spans="18:20" x14ac:dyDescent="0.25">
      <c r="R87" s="5" t="s">
        <v>5</v>
      </c>
      <c r="S87">
        <f>S72/S68</f>
        <v>1.191141774964569</v>
      </c>
      <c r="T87">
        <f>T72/T68</f>
        <v>1.4085505709164357</v>
      </c>
    </row>
    <row r="88" spans="18:20" x14ac:dyDescent="0.25">
      <c r="R88" s="5" t="s">
        <v>6</v>
      </c>
      <c r="S88">
        <f>S73/S68</f>
        <v>0.9927932075196978</v>
      </c>
      <c r="T88">
        <f>T73/T68</f>
        <v>1.4218337134936145</v>
      </c>
    </row>
    <row r="89" spans="18:20" x14ac:dyDescent="0.25">
      <c r="R89" s="6" t="s">
        <v>7</v>
      </c>
      <c r="S89">
        <f>S74/S68</f>
        <v>1.1088195100026035</v>
      </c>
      <c r="T89">
        <f>T74/T68</f>
        <v>1.5094870445778261</v>
      </c>
    </row>
    <row r="90" spans="18:20" x14ac:dyDescent="0.25">
      <c r="R90" s="5" t="s">
        <v>8</v>
      </c>
      <c r="S90">
        <f>S75/S68</f>
        <v>1.2403889980462459</v>
      </c>
      <c r="T90">
        <f>T75/T68</f>
        <v>1.5962195062133004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9"/>
  <sheetViews>
    <sheetView zoomScaleNormal="100" workbookViewId="0">
      <selection activeCell="G16" sqref="G16"/>
    </sheetView>
  </sheetViews>
  <sheetFormatPr defaultColWidth="8.5703125" defaultRowHeight="15" x14ac:dyDescent="0.25"/>
  <cols>
    <col min="1" max="1" width="24" customWidth="1"/>
    <col min="2" max="5" width="20" customWidth="1"/>
    <col min="6" max="6" width="21" customWidth="1"/>
    <col min="7" max="43" width="20" customWidth="1"/>
    <col min="44" max="44" width="19" customWidth="1"/>
    <col min="45" max="52" width="20" customWidth="1"/>
    <col min="53" max="55" width="19" customWidth="1"/>
    <col min="56" max="61" width="20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239878.18367346941</v>
      </c>
      <c r="D2">
        <v>230217.68367346941</v>
      </c>
      <c r="E2">
        <v>249538.68367346941</v>
      </c>
      <c r="F2">
        <v>9660.5</v>
      </c>
    </row>
    <row r="3" spans="1:6" x14ac:dyDescent="0.25">
      <c r="A3" t="s">
        <v>1</v>
      </c>
      <c r="B3">
        <v>2</v>
      </c>
      <c r="C3">
        <v>3406149.2063983488</v>
      </c>
      <c r="D3">
        <v>3375306.2136222911</v>
      </c>
      <c r="E3">
        <v>3436992.199174406</v>
      </c>
      <c r="F3">
        <v>30842.992776057679</v>
      </c>
    </row>
    <row r="4" spans="1:6" x14ac:dyDescent="0.25">
      <c r="A4" t="s">
        <v>2</v>
      </c>
      <c r="B4">
        <v>1</v>
      </c>
      <c r="C4">
        <v>202841.6479591837</v>
      </c>
      <c r="D4">
        <v>200221.3571428571</v>
      </c>
      <c r="E4">
        <v>205461.93877551021</v>
      </c>
      <c r="F4">
        <v>2620.2908163265379</v>
      </c>
    </row>
    <row r="5" spans="1:6" x14ac:dyDescent="0.25">
      <c r="A5" t="s">
        <v>2</v>
      </c>
      <c r="B5">
        <v>2</v>
      </c>
      <c r="C5">
        <v>2820863.4809081531</v>
      </c>
      <c r="D5">
        <v>2674954.7626418988</v>
      </c>
      <c r="E5">
        <v>2966772.199174406</v>
      </c>
      <c r="F5">
        <v>145908.7182662538</v>
      </c>
    </row>
    <row r="6" spans="1:6" x14ac:dyDescent="0.25">
      <c r="A6" t="s">
        <v>3</v>
      </c>
      <c r="B6">
        <v>1</v>
      </c>
      <c r="C6">
        <v>517090.27040816331</v>
      </c>
      <c r="D6">
        <v>517089.93877551018</v>
      </c>
      <c r="E6">
        <v>517090.60204081627</v>
      </c>
      <c r="F6">
        <v>0.33163265307666728</v>
      </c>
    </row>
    <row r="7" spans="1:6" x14ac:dyDescent="0.25">
      <c r="A7" t="s">
        <v>3</v>
      </c>
      <c r="B7">
        <v>2</v>
      </c>
      <c r="C7">
        <v>5803831.9169246648</v>
      </c>
      <c r="D7">
        <v>5803830.1362229101</v>
      </c>
      <c r="E7">
        <v>5803833.6976264194</v>
      </c>
      <c r="F7">
        <v>1.780701754614711</v>
      </c>
    </row>
    <row r="8" spans="1:6" x14ac:dyDescent="0.25">
      <c r="A8" t="s">
        <v>4</v>
      </c>
      <c r="B8">
        <v>1</v>
      </c>
      <c r="C8">
        <v>396171.11224489799</v>
      </c>
      <c r="D8">
        <v>296015.18367346941</v>
      </c>
      <c r="E8">
        <v>496327.04081632651</v>
      </c>
      <c r="F8">
        <v>100155.92857142859</v>
      </c>
    </row>
    <row r="9" spans="1:6" x14ac:dyDescent="0.25">
      <c r="A9" t="s">
        <v>4</v>
      </c>
      <c r="B9">
        <v>2</v>
      </c>
      <c r="C9">
        <v>5087579.4370485041</v>
      </c>
      <c r="D9">
        <v>4948760.0763673894</v>
      </c>
      <c r="E9">
        <v>5226398.7977296179</v>
      </c>
      <c r="F9">
        <v>138819.36068111431</v>
      </c>
    </row>
    <row r="10" spans="1:6" x14ac:dyDescent="0.25">
      <c r="A10" t="s">
        <v>5</v>
      </c>
      <c r="B10">
        <v>1</v>
      </c>
      <c r="C10">
        <v>435797.76020408171</v>
      </c>
      <c r="D10">
        <v>334821.03061224491</v>
      </c>
      <c r="E10">
        <v>536774.48979591834</v>
      </c>
      <c r="F10">
        <v>100976.7295918367</v>
      </c>
    </row>
    <row r="11" spans="1:6" x14ac:dyDescent="0.25">
      <c r="A11" t="s">
        <v>5</v>
      </c>
      <c r="B11">
        <v>2</v>
      </c>
      <c r="C11">
        <v>4906504.712074304</v>
      </c>
      <c r="D11">
        <v>4603295.3271413827</v>
      </c>
      <c r="E11">
        <v>5209714.0970072243</v>
      </c>
      <c r="F11">
        <v>303209.3849329208</v>
      </c>
    </row>
    <row r="12" spans="1:6" ht="15" customHeight="1" x14ac:dyDescent="0.25">
      <c r="A12" s="1" t="s">
        <v>6</v>
      </c>
      <c r="B12">
        <v>1</v>
      </c>
      <c r="C12">
        <v>427017.66836734698</v>
      </c>
      <c r="D12">
        <v>410358.61224489799</v>
      </c>
      <c r="E12">
        <v>443676.72448979592</v>
      </c>
      <c r="F12">
        <v>16659.056122448961</v>
      </c>
    </row>
    <row r="13" spans="1:6" x14ac:dyDescent="0.25">
      <c r="A13" t="s">
        <v>6</v>
      </c>
      <c r="B13">
        <v>2</v>
      </c>
      <c r="C13">
        <v>4243884.9396284828</v>
      </c>
      <c r="D13">
        <v>3983226.233230134</v>
      </c>
      <c r="E13">
        <v>4504543.6460268321</v>
      </c>
      <c r="F13">
        <v>260658.70639834899</v>
      </c>
    </row>
    <row r="14" spans="1:6" x14ac:dyDescent="0.25">
      <c r="A14" t="s">
        <v>7</v>
      </c>
      <c r="B14">
        <v>1</v>
      </c>
      <c r="C14">
        <v>514126.66326530621</v>
      </c>
      <c r="D14">
        <v>492090.31632653059</v>
      </c>
      <c r="E14">
        <v>536163.01020408166</v>
      </c>
      <c r="F14">
        <v>22036.346938775529</v>
      </c>
    </row>
    <row r="15" spans="1:6" x14ac:dyDescent="0.25">
      <c r="A15" t="s">
        <v>7</v>
      </c>
      <c r="B15">
        <v>2</v>
      </c>
      <c r="C15">
        <v>4910906.8168214653</v>
      </c>
      <c r="D15">
        <v>4479842.2167182667</v>
      </c>
      <c r="E15">
        <v>5341971.4169246648</v>
      </c>
      <c r="F15">
        <v>431064.60010319902</v>
      </c>
    </row>
    <row r="16" spans="1:6" x14ac:dyDescent="0.25">
      <c r="A16" t="s">
        <v>8</v>
      </c>
      <c r="B16">
        <v>1</v>
      </c>
      <c r="C16">
        <v>560357.6173469387</v>
      </c>
      <c r="D16">
        <v>537913.58163265302</v>
      </c>
      <c r="E16">
        <v>582801.6530612245</v>
      </c>
      <c r="F16">
        <v>22444.035714285739</v>
      </c>
    </row>
    <row r="17" spans="1:6" x14ac:dyDescent="0.25">
      <c r="A17" t="s">
        <v>8</v>
      </c>
      <c r="B17">
        <v>2</v>
      </c>
      <c r="C17">
        <v>5529157.4195046443</v>
      </c>
      <c r="D17">
        <v>4677878.5201238394</v>
      </c>
      <c r="E17">
        <v>6380436.3188854493</v>
      </c>
      <c r="F17">
        <v>851278.89938080497</v>
      </c>
    </row>
    <row r="20" spans="1:6" ht="15" customHeight="1" x14ac:dyDescent="0.25">
      <c r="A20" s="4" t="s">
        <v>17</v>
      </c>
    </row>
    <row r="21" spans="1:6" x14ac:dyDescent="0.25">
      <c r="A21" t="s">
        <v>1</v>
      </c>
      <c r="C21">
        <v>1823013.6950359091</v>
      </c>
      <c r="D21">
        <v>230217.68367346941</v>
      </c>
      <c r="E21">
        <v>3436992.199174406</v>
      </c>
      <c r="F21">
        <v>1583300.4626629241</v>
      </c>
    </row>
    <row r="22" spans="1:6" x14ac:dyDescent="0.25">
      <c r="A22" t="s">
        <v>2</v>
      </c>
      <c r="C22">
        <v>1511852.564433668</v>
      </c>
      <c r="D22">
        <v>200221.3571428571</v>
      </c>
      <c r="E22">
        <v>2966772.199174406</v>
      </c>
      <c r="F22">
        <v>1313071.8523540141</v>
      </c>
    </row>
    <row r="23" spans="1:6" ht="15" customHeight="1" x14ac:dyDescent="0.25">
      <c r="A23" s="1" t="s">
        <v>3</v>
      </c>
      <c r="C23">
        <v>3160461.0936664138</v>
      </c>
      <c r="D23">
        <v>517089.93877551018</v>
      </c>
      <c r="E23">
        <v>5803833.6976264194</v>
      </c>
      <c r="F23">
        <v>2643370.8232585611</v>
      </c>
    </row>
    <row r="24" spans="1:6" x14ac:dyDescent="0.25">
      <c r="A24" t="s">
        <v>4</v>
      </c>
      <c r="C24">
        <v>2741875.2746467008</v>
      </c>
      <c r="D24">
        <v>296015.18367346941</v>
      </c>
      <c r="E24">
        <v>5226398.7977296179</v>
      </c>
      <c r="F24">
        <v>2348825.0317920879</v>
      </c>
    </row>
    <row r="25" spans="1:6" x14ac:dyDescent="0.25">
      <c r="A25" t="s">
        <v>5</v>
      </c>
      <c r="C25">
        <v>2671151.2361391932</v>
      </c>
      <c r="D25">
        <v>334821.03061224491</v>
      </c>
      <c r="E25">
        <v>5209714.0970072243</v>
      </c>
      <c r="F25">
        <v>2246746.821048249</v>
      </c>
    </row>
    <row r="26" spans="1:6" x14ac:dyDescent="0.25">
      <c r="A26" t="s">
        <v>6</v>
      </c>
      <c r="C26">
        <v>2335451.3039979148</v>
      </c>
      <c r="D26">
        <v>410358.61224489799</v>
      </c>
      <c r="E26">
        <v>4504543.6460268321</v>
      </c>
      <c r="F26">
        <v>1917349.520638369</v>
      </c>
    </row>
    <row r="27" spans="1:6" x14ac:dyDescent="0.25">
      <c r="A27" t="s">
        <v>7</v>
      </c>
      <c r="C27">
        <v>2712516.7400433859</v>
      </c>
      <c r="D27">
        <v>492090.31632653059</v>
      </c>
      <c r="E27">
        <v>5341971.4169246648</v>
      </c>
      <c r="F27">
        <v>2219475.180014546</v>
      </c>
    </row>
    <row r="28" spans="1:6" ht="15" customHeight="1" x14ac:dyDescent="0.25">
      <c r="A28" s="1" t="s">
        <v>8</v>
      </c>
      <c r="C28">
        <v>3044757.518425792</v>
      </c>
      <c r="D28">
        <v>537913.58163265302</v>
      </c>
      <c r="E28">
        <v>6380436.3188854493</v>
      </c>
      <c r="F28">
        <v>2556331.867758113</v>
      </c>
    </row>
    <row r="31" spans="1:6" ht="15" customHeight="1" x14ac:dyDescent="0.25">
      <c r="A31" s="4" t="s">
        <v>18</v>
      </c>
    </row>
    <row r="32" spans="1:6" x14ac:dyDescent="0.25">
      <c r="A32" t="s">
        <v>19</v>
      </c>
      <c r="B32">
        <v>1</v>
      </c>
      <c r="C32">
        <v>2</v>
      </c>
    </row>
    <row r="33" spans="1:5" x14ac:dyDescent="0.25">
      <c r="A33" t="s">
        <v>1</v>
      </c>
      <c r="B33">
        <v>239878.18367346941</v>
      </c>
      <c r="C33">
        <v>3406149.2063983488</v>
      </c>
    </row>
    <row r="34" spans="1:5" x14ac:dyDescent="0.25">
      <c r="A34" t="s">
        <v>2</v>
      </c>
      <c r="B34">
        <v>202841.6479591837</v>
      </c>
      <c r="C34">
        <v>2820863.4809081531</v>
      </c>
    </row>
    <row r="35" spans="1:5" ht="15" customHeight="1" x14ac:dyDescent="0.25">
      <c r="A35" s="1" t="s">
        <v>3</v>
      </c>
      <c r="B35">
        <v>517090.27040816331</v>
      </c>
      <c r="C35">
        <v>5803831.9169246648</v>
      </c>
    </row>
    <row r="36" spans="1:5" ht="15" customHeight="1" x14ac:dyDescent="0.25">
      <c r="A36" s="1" t="s">
        <v>4</v>
      </c>
      <c r="B36">
        <v>396171.11224489799</v>
      </c>
      <c r="C36">
        <v>5087579.4370485041</v>
      </c>
    </row>
    <row r="37" spans="1:5" x14ac:dyDescent="0.25">
      <c r="A37" t="s">
        <v>5</v>
      </c>
      <c r="B37">
        <v>435797.76020408171</v>
      </c>
      <c r="C37">
        <v>4906504.712074304</v>
      </c>
    </row>
    <row r="38" spans="1:5" x14ac:dyDescent="0.25">
      <c r="A38" t="s">
        <v>6</v>
      </c>
      <c r="B38">
        <v>427017.66836734698</v>
      </c>
      <c r="C38">
        <v>4243884.9396284828</v>
      </c>
    </row>
    <row r="39" spans="1:5" ht="15" customHeight="1" x14ac:dyDescent="0.25">
      <c r="A39" s="1" t="s">
        <v>7</v>
      </c>
      <c r="B39">
        <v>514126.66326530621</v>
      </c>
      <c r="C39">
        <v>4910906.8168214653</v>
      </c>
    </row>
    <row r="40" spans="1:5" x14ac:dyDescent="0.25">
      <c r="A40" t="s">
        <v>8</v>
      </c>
      <c r="B40">
        <v>560357.6173469387</v>
      </c>
      <c r="C40">
        <v>5529157.4195046443</v>
      </c>
    </row>
    <row r="43" spans="1:5" ht="15" customHeight="1" x14ac:dyDescent="0.25">
      <c r="A43" s="4" t="s">
        <v>20</v>
      </c>
    </row>
    <row r="44" spans="1:5" x14ac:dyDescent="0.25">
      <c r="A44" t="s">
        <v>19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1</v>
      </c>
      <c r="B45">
        <v>230217.68367346941</v>
      </c>
      <c r="C45">
        <v>249538.68367346941</v>
      </c>
      <c r="D45">
        <v>3436992.199174406</v>
      </c>
      <c r="E45">
        <v>3375306.2136222911</v>
      </c>
    </row>
    <row r="46" spans="1:5" x14ac:dyDescent="0.25">
      <c r="A46" t="s">
        <v>2</v>
      </c>
      <c r="B46">
        <v>200221.3571428571</v>
      </c>
      <c r="C46">
        <v>205461.93877551021</v>
      </c>
      <c r="D46">
        <v>2966772.199174406</v>
      </c>
      <c r="E46">
        <v>2674954.7626418988</v>
      </c>
    </row>
    <row r="47" spans="1:5" ht="15" customHeight="1" x14ac:dyDescent="0.25">
      <c r="A47" s="1" t="s">
        <v>3</v>
      </c>
      <c r="B47">
        <v>517089.93877551018</v>
      </c>
      <c r="C47">
        <v>517090.60204081627</v>
      </c>
      <c r="D47">
        <v>5803830.1362229101</v>
      </c>
      <c r="E47">
        <v>5803833.6976264194</v>
      </c>
    </row>
    <row r="48" spans="1:5" x14ac:dyDescent="0.25">
      <c r="A48" t="s">
        <v>4</v>
      </c>
      <c r="B48">
        <v>296015.18367346941</v>
      </c>
      <c r="C48">
        <v>496327.04081632651</v>
      </c>
      <c r="D48">
        <v>5226398.7977296179</v>
      </c>
      <c r="E48">
        <v>4948760.0763673894</v>
      </c>
    </row>
    <row r="49" spans="1:5" x14ac:dyDescent="0.25">
      <c r="A49" t="s">
        <v>5</v>
      </c>
      <c r="B49">
        <v>536774.48979591834</v>
      </c>
      <c r="C49">
        <v>334821.03061224491</v>
      </c>
      <c r="D49">
        <v>5209714.0970072243</v>
      </c>
      <c r="E49">
        <v>4603295.3271413827</v>
      </c>
    </row>
    <row r="50" spans="1:5" x14ac:dyDescent="0.25">
      <c r="A50" t="s">
        <v>6</v>
      </c>
      <c r="B50">
        <v>410358.61224489799</v>
      </c>
      <c r="C50">
        <v>443676.72448979592</v>
      </c>
      <c r="D50">
        <v>3983226.233230134</v>
      </c>
      <c r="E50">
        <v>4504543.6460268321</v>
      </c>
    </row>
    <row r="51" spans="1:5" ht="15" customHeight="1" x14ac:dyDescent="0.25">
      <c r="A51" s="1" t="s">
        <v>7</v>
      </c>
      <c r="B51">
        <v>536163.01020408166</v>
      </c>
      <c r="C51">
        <v>492090.31632653059</v>
      </c>
      <c r="D51">
        <v>5341971.4169246648</v>
      </c>
      <c r="E51">
        <v>4479842.2167182667</v>
      </c>
    </row>
    <row r="52" spans="1:5" x14ac:dyDescent="0.25">
      <c r="A52" t="s">
        <v>8</v>
      </c>
      <c r="B52">
        <v>582801.6530612245</v>
      </c>
      <c r="C52">
        <v>537913.58163265302</v>
      </c>
      <c r="D52">
        <v>6380436.3188854493</v>
      </c>
      <c r="E52">
        <v>4677878.5201238394</v>
      </c>
    </row>
    <row r="59" spans="1:5" ht="15" customHeight="1" x14ac:dyDescent="0.25">
      <c r="A59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7" width="20" customWidth="1"/>
    <col min="8" max="8" width="19" customWidth="1"/>
    <col min="9" max="61" width="20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2907121544.115128</v>
      </c>
      <c r="D2">
        <v>2783287474.0162268</v>
      </c>
      <c r="E2">
        <v>3030955614.2140269</v>
      </c>
      <c r="F2">
        <v>123834070.09890009</v>
      </c>
    </row>
    <row r="3" spans="1:6" x14ac:dyDescent="0.25">
      <c r="A3" t="s">
        <v>1</v>
      </c>
      <c r="B3">
        <v>2</v>
      </c>
      <c r="C3">
        <v>10189273929.865049</v>
      </c>
      <c r="D3">
        <v>9862685487.9935188</v>
      </c>
      <c r="E3">
        <v>10515862371.736589</v>
      </c>
      <c r="F3">
        <v>326588441.87153429</v>
      </c>
    </row>
    <row r="4" spans="1:6" x14ac:dyDescent="0.25">
      <c r="A4" t="s">
        <v>2</v>
      </c>
      <c r="B4">
        <v>1</v>
      </c>
      <c r="C4">
        <v>3009761648.333333</v>
      </c>
      <c r="D4">
        <v>2904320840</v>
      </c>
      <c r="E4">
        <v>3115202456.666667</v>
      </c>
      <c r="F4">
        <v>105440808.3333333</v>
      </c>
    </row>
    <row r="5" spans="1:6" x14ac:dyDescent="0.25">
      <c r="A5" t="s">
        <v>2</v>
      </c>
      <c r="B5">
        <v>2</v>
      </c>
      <c r="C5">
        <v>14109823188.75</v>
      </c>
      <c r="D5">
        <v>13205153215</v>
      </c>
      <c r="E5">
        <v>15014493162.5</v>
      </c>
      <c r="F5">
        <v>904669973.74999905</v>
      </c>
    </row>
    <row r="6" spans="1:6" x14ac:dyDescent="0.25">
      <c r="A6" t="s">
        <v>3</v>
      </c>
      <c r="B6">
        <v>1</v>
      </c>
      <c r="C6">
        <v>2959154590.833333</v>
      </c>
      <c r="D6">
        <v>2959151200.833333</v>
      </c>
      <c r="E6">
        <v>2959157980.833333</v>
      </c>
      <c r="F6">
        <v>3390</v>
      </c>
    </row>
    <row r="7" spans="1:6" x14ac:dyDescent="0.25">
      <c r="A7" t="s">
        <v>3</v>
      </c>
      <c r="B7">
        <v>2</v>
      </c>
      <c r="C7">
        <v>18067077713.333328</v>
      </c>
      <c r="D7">
        <v>18067066130.833328</v>
      </c>
      <c r="E7">
        <v>18067089295.833328</v>
      </c>
      <c r="F7">
        <v>11582.5</v>
      </c>
    </row>
    <row r="8" spans="1:6" x14ac:dyDescent="0.25">
      <c r="A8" t="s">
        <v>4</v>
      </c>
      <c r="B8">
        <v>1</v>
      </c>
      <c r="C8">
        <v>3615233846.25</v>
      </c>
      <c r="D8">
        <v>3496870790.833333</v>
      </c>
      <c r="E8">
        <v>3733596901.666667</v>
      </c>
      <c r="F8">
        <v>118363055.41666649</v>
      </c>
    </row>
    <row r="9" spans="1:6" x14ac:dyDescent="0.25">
      <c r="A9" t="s">
        <v>4</v>
      </c>
      <c r="B9">
        <v>2</v>
      </c>
      <c r="C9">
        <v>17407408200.833328</v>
      </c>
      <c r="D9">
        <v>15517022078.33333</v>
      </c>
      <c r="E9">
        <v>19297794323.333328</v>
      </c>
      <c r="F9">
        <v>1890386122.499999</v>
      </c>
    </row>
    <row r="10" spans="1:6" x14ac:dyDescent="0.25">
      <c r="A10" t="s">
        <v>5</v>
      </c>
      <c r="B10">
        <v>1</v>
      </c>
      <c r="C10">
        <v>3255648337.916667</v>
      </c>
      <c r="D10">
        <v>3222168808.333333</v>
      </c>
      <c r="E10">
        <v>3289127867.5</v>
      </c>
      <c r="F10">
        <v>33479529.58333325</v>
      </c>
    </row>
    <row r="11" spans="1:6" x14ac:dyDescent="0.25">
      <c r="A11" t="s">
        <v>5</v>
      </c>
      <c r="B11">
        <v>2</v>
      </c>
      <c r="C11">
        <v>17261119548.75</v>
      </c>
      <c r="D11">
        <v>16948586926.66667</v>
      </c>
      <c r="E11">
        <v>17573652170.83334</v>
      </c>
      <c r="F11">
        <v>312532622.08333403</v>
      </c>
    </row>
    <row r="12" spans="1:6" ht="15" customHeight="1" x14ac:dyDescent="0.25">
      <c r="A12" s="1" t="s">
        <v>6</v>
      </c>
      <c r="B12">
        <v>1</v>
      </c>
      <c r="C12">
        <v>3056124003.333333</v>
      </c>
      <c r="D12">
        <v>3003867995.833333</v>
      </c>
      <c r="E12">
        <v>3108380010.833333</v>
      </c>
      <c r="F12">
        <v>52256007.499999762</v>
      </c>
    </row>
    <row r="13" spans="1:6" x14ac:dyDescent="0.25">
      <c r="A13" t="s">
        <v>6</v>
      </c>
      <c r="B13">
        <v>2</v>
      </c>
      <c r="C13">
        <v>17302039342.5</v>
      </c>
      <c r="D13">
        <v>15832019091.66667</v>
      </c>
      <c r="E13">
        <v>18772059593.33334</v>
      </c>
      <c r="F13">
        <v>1470020250.833334</v>
      </c>
    </row>
    <row r="14" spans="1:6" x14ac:dyDescent="0.25">
      <c r="A14" t="s">
        <v>7</v>
      </c>
      <c r="B14">
        <v>1</v>
      </c>
      <c r="C14">
        <v>3400896201.666667</v>
      </c>
      <c r="D14">
        <v>3359955141.666667</v>
      </c>
      <c r="E14">
        <v>3441837261.666667</v>
      </c>
      <c r="F14">
        <v>40941060</v>
      </c>
    </row>
    <row r="15" spans="1:6" x14ac:dyDescent="0.25">
      <c r="A15" t="s">
        <v>7</v>
      </c>
      <c r="B15">
        <v>2</v>
      </c>
      <c r="C15">
        <v>18275026728.33334</v>
      </c>
      <c r="D15">
        <v>17567345345.83334</v>
      </c>
      <c r="E15">
        <v>18982708110.83334</v>
      </c>
      <c r="F15">
        <v>707681382.5</v>
      </c>
    </row>
    <row r="16" spans="1:6" x14ac:dyDescent="0.25">
      <c r="A16" t="s">
        <v>8</v>
      </c>
      <c r="B16">
        <v>1</v>
      </c>
      <c r="C16">
        <v>3802535453.75</v>
      </c>
      <c r="D16">
        <v>2990088291.666667</v>
      </c>
      <c r="E16">
        <v>4614982615.833333</v>
      </c>
      <c r="F16">
        <v>812447162.08333325</v>
      </c>
    </row>
    <row r="17" spans="1:6" x14ac:dyDescent="0.25">
      <c r="A17" t="s">
        <v>8</v>
      </c>
      <c r="B17">
        <v>2</v>
      </c>
      <c r="C17">
        <v>19274691924.58334</v>
      </c>
      <c r="D17">
        <v>16671190059.16667</v>
      </c>
      <c r="E17">
        <v>21878193790</v>
      </c>
      <c r="F17">
        <v>2603501865.416666</v>
      </c>
    </row>
    <row r="20" spans="1:6" ht="15" customHeight="1" x14ac:dyDescent="0.25">
      <c r="A20" s="4" t="s">
        <v>17</v>
      </c>
    </row>
    <row r="21" spans="1:6" x14ac:dyDescent="0.25">
      <c r="A21" t="s">
        <v>1</v>
      </c>
      <c r="C21">
        <v>6548197736.9900904</v>
      </c>
      <c r="D21">
        <v>2783287474.0162268</v>
      </c>
      <c r="E21">
        <v>10515862371.736589</v>
      </c>
      <c r="F21">
        <v>3649442873.3659468</v>
      </c>
    </row>
    <row r="22" spans="1:6" x14ac:dyDescent="0.25">
      <c r="A22" t="s">
        <v>2</v>
      </c>
      <c r="C22">
        <v>8559792418.541667</v>
      </c>
      <c r="D22">
        <v>2904320840</v>
      </c>
      <c r="E22">
        <v>15014493162.5</v>
      </c>
      <c r="F22">
        <v>5587272528.9708853</v>
      </c>
    </row>
    <row r="23" spans="1:6" ht="15" customHeight="1" x14ac:dyDescent="0.25">
      <c r="A23" s="1" t="s">
        <v>3</v>
      </c>
      <c r="C23">
        <v>10513116152.08333</v>
      </c>
      <c r="D23">
        <v>2959151200.833333</v>
      </c>
      <c r="E23">
        <v>18067089295.833328</v>
      </c>
      <c r="F23">
        <v>7553961561.2548189</v>
      </c>
    </row>
    <row r="24" spans="1:6" x14ac:dyDescent="0.25">
      <c r="A24" t="s">
        <v>4</v>
      </c>
      <c r="C24">
        <v>10511321023.54167</v>
      </c>
      <c r="D24">
        <v>3496870790.833333</v>
      </c>
      <c r="E24">
        <v>19297794323.333328</v>
      </c>
      <c r="F24">
        <v>7024941502.1991911</v>
      </c>
    </row>
    <row r="25" spans="1:6" x14ac:dyDescent="0.25">
      <c r="A25" t="s">
        <v>5</v>
      </c>
      <c r="C25">
        <v>10258383943.33333</v>
      </c>
      <c r="D25">
        <v>3222168808.333333</v>
      </c>
      <c r="E25">
        <v>17573652170.83334</v>
      </c>
      <c r="F25">
        <v>7006261822.0242128</v>
      </c>
    </row>
    <row r="26" spans="1:6" x14ac:dyDescent="0.25">
      <c r="A26" t="s">
        <v>6</v>
      </c>
      <c r="C26">
        <v>10179081672.91667</v>
      </c>
      <c r="D26">
        <v>3003867995.833333</v>
      </c>
      <c r="E26">
        <v>18772059593.33334</v>
      </c>
      <c r="F26">
        <v>7198497834.7406635</v>
      </c>
    </row>
    <row r="27" spans="1:6" x14ac:dyDescent="0.25">
      <c r="A27" t="s">
        <v>7</v>
      </c>
      <c r="C27">
        <v>10837961465</v>
      </c>
      <c r="D27">
        <v>3359955141.666667</v>
      </c>
      <c r="E27">
        <v>18982708110.83334</v>
      </c>
      <c r="F27">
        <v>7453937502.1423969</v>
      </c>
    </row>
    <row r="28" spans="1:6" ht="15" customHeight="1" x14ac:dyDescent="0.25">
      <c r="A28" s="1" t="s">
        <v>8</v>
      </c>
      <c r="C28">
        <v>11538613689.16667</v>
      </c>
      <c r="D28">
        <v>2990088291.666667</v>
      </c>
      <c r="E28">
        <v>21878193790</v>
      </c>
      <c r="F28">
        <v>7972832159.3828955</v>
      </c>
    </row>
    <row r="31" spans="1:6" ht="15" customHeight="1" x14ac:dyDescent="0.25">
      <c r="A31" s="4" t="s">
        <v>18</v>
      </c>
    </row>
    <row r="32" spans="1:6" x14ac:dyDescent="0.25">
      <c r="A32" t="s">
        <v>19</v>
      </c>
      <c r="B32">
        <v>1</v>
      </c>
      <c r="C32">
        <v>2</v>
      </c>
    </row>
    <row r="33" spans="1:5" x14ac:dyDescent="0.25">
      <c r="A33" t="s">
        <v>1</v>
      </c>
      <c r="B33">
        <v>2907121544.115128</v>
      </c>
      <c r="C33">
        <v>10189273929.865049</v>
      </c>
    </row>
    <row r="34" spans="1:5" x14ac:dyDescent="0.25">
      <c r="A34" t="s">
        <v>2</v>
      </c>
      <c r="B34">
        <v>3009761648.333333</v>
      </c>
      <c r="C34">
        <v>14109823188.75</v>
      </c>
    </row>
    <row r="35" spans="1:5" ht="15" customHeight="1" x14ac:dyDescent="0.25">
      <c r="A35" s="1" t="s">
        <v>3</v>
      </c>
      <c r="B35">
        <v>2959154590.833333</v>
      </c>
      <c r="C35">
        <v>18067077713.333328</v>
      </c>
    </row>
    <row r="36" spans="1:5" ht="15" customHeight="1" x14ac:dyDescent="0.25">
      <c r="A36" s="1" t="s">
        <v>4</v>
      </c>
      <c r="B36">
        <v>3615233846.25</v>
      </c>
      <c r="C36">
        <v>17407408200.833328</v>
      </c>
    </row>
    <row r="37" spans="1:5" x14ac:dyDescent="0.25">
      <c r="A37" t="s">
        <v>5</v>
      </c>
      <c r="B37">
        <v>3255648337.916667</v>
      </c>
      <c r="C37">
        <v>17261119548.75</v>
      </c>
    </row>
    <row r="38" spans="1:5" x14ac:dyDescent="0.25">
      <c r="A38" t="s">
        <v>6</v>
      </c>
      <c r="B38">
        <v>3056124003.333333</v>
      </c>
      <c r="C38">
        <v>17302039342.5</v>
      </c>
    </row>
    <row r="39" spans="1:5" ht="15" customHeight="1" x14ac:dyDescent="0.25">
      <c r="A39" s="1" t="s">
        <v>7</v>
      </c>
      <c r="B39">
        <v>3400896201.666667</v>
      </c>
      <c r="C39">
        <v>18275026728.33334</v>
      </c>
    </row>
    <row r="40" spans="1:5" x14ac:dyDescent="0.25">
      <c r="A40" t="s">
        <v>8</v>
      </c>
      <c r="B40">
        <v>3802535453.75</v>
      </c>
      <c r="C40">
        <v>19274691924.58334</v>
      </c>
    </row>
    <row r="43" spans="1:5" ht="15" customHeight="1" x14ac:dyDescent="0.25">
      <c r="A43" s="4" t="s">
        <v>20</v>
      </c>
    </row>
    <row r="44" spans="1:5" x14ac:dyDescent="0.25">
      <c r="A44" t="s">
        <v>19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1</v>
      </c>
      <c r="B45">
        <v>2783287474.0162268</v>
      </c>
      <c r="C45">
        <v>3030955614.2140269</v>
      </c>
      <c r="D45">
        <v>9862685487.9935188</v>
      </c>
      <c r="E45">
        <v>10515862371.736589</v>
      </c>
    </row>
    <row r="46" spans="1:5" x14ac:dyDescent="0.25">
      <c r="A46" t="s">
        <v>2</v>
      </c>
      <c r="B46">
        <v>2904320840</v>
      </c>
      <c r="C46">
        <v>3115202456.666667</v>
      </c>
      <c r="D46">
        <v>15014493162.5</v>
      </c>
      <c r="E46">
        <v>13205153215</v>
      </c>
    </row>
    <row r="47" spans="1:5" ht="15" customHeight="1" x14ac:dyDescent="0.25">
      <c r="A47" s="1" t="s">
        <v>3</v>
      </c>
      <c r="B47">
        <v>2959157980.833333</v>
      </c>
      <c r="C47">
        <v>2959151200.833333</v>
      </c>
      <c r="D47">
        <v>18067089295.833328</v>
      </c>
      <c r="E47">
        <v>18067066130.833328</v>
      </c>
    </row>
    <row r="48" spans="1:5" x14ac:dyDescent="0.25">
      <c r="A48" t="s">
        <v>4</v>
      </c>
      <c r="B48">
        <v>3733596901.666667</v>
      </c>
      <c r="C48">
        <v>3496870790.833333</v>
      </c>
      <c r="D48">
        <v>19297794323.333328</v>
      </c>
      <c r="E48">
        <v>15517022078.33333</v>
      </c>
    </row>
    <row r="49" spans="1:5" x14ac:dyDescent="0.25">
      <c r="A49" t="s">
        <v>5</v>
      </c>
      <c r="B49">
        <v>3289127867.5</v>
      </c>
      <c r="C49">
        <v>3222168808.333333</v>
      </c>
      <c r="D49">
        <v>17573652170.83334</v>
      </c>
      <c r="E49">
        <v>16948586926.66667</v>
      </c>
    </row>
    <row r="50" spans="1:5" x14ac:dyDescent="0.25">
      <c r="A50" t="s">
        <v>6</v>
      </c>
      <c r="B50">
        <v>3003867995.833333</v>
      </c>
      <c r="C50">
        <v>3108380010.833333</v>
      </c>
      <c r="D50">
        <v>15832019091.66667</v>
      </c>
      <c r="E50">
        <v>18772059593.33334</v>
      </c>
    </row>
    <row r="51" spans="1:5" ht="15" customHeight="1" x14ac:dyDescent="0.25">
      <c r="A51" s="1" t="s">
        <v>7</v>
      </c>
      <c r="B51">
        <v>3441837261.666667</v>
      </c>
      <c r="C51">
        <v>3359955141.666667</v>
      </c>
      <c r="D51">
        <v>18982708110.83334</v>
      </c>
      <c r="E51">
        <v>17567345345.83334</v>
      </c>
    </row>
    <row r="52" spans="1:5" x14ac:dyDescent="0.25">
      <c r="A52" t="s">
        <v>8</v>
      </c>
      <c r="B52">
        <v>4614982615.833333</v>
      </c>
      <c r="C52">
        <v>2990088291.666667</v>
      </c>
      <c r="D52">
        <v>21878193790</v>
      </c>
      <c r="E52">
        <v>16671190059.16667</v>
      </c>
    </row>
    <row r="57" spans="1:5" x14ac:dyDescent="0.25">
      <c r="A57" t="s">
        <v>20</v>
      </c>
    </row>
    <row r="58" spans="1:5" x14ac:dyDescent="0.25">
      <c r="A58" t="s">
        <v>19</v>
      </c>
      <c r="B58" t="s">
        <v>21</v>
      </c>
      <c r="C58" t="s">
        <v>22</v>
      </c>
    </row>
    <row r="59" spans="1:5" ht="15" customHeight="1" x14ac:dyDescent="0.25">
      <c r="A59" s="1" t="s">
        <v>1</v>
      </c>
      <c r="B59">
        <v>2783287474.0162268</v>
      </c>
      <c r="C59">
        <v>9862685487.9935188</v>
      </c>
    </row>
    <row r="60" spans="1:5" x14ac:dyDescent="0.25">
      <c r="A60" t="s">
        <v>1</v>
      </c>
      <c r="B60">
        <v>3030955614.2140269</v>
      </c>
      <c r="C60">
        <v>10515862371.736589</v>
      </c>
    </row>
    <row r="61" spans="1:5" x14ac:dyDescent="0.25">
      <c r="A61" t="s">
        <v>2</v>
      </c>
      <c r="B61">
        <v>2904320840</v>
      </c>
      <c r="C61">
        <v>15014493162.5</v>
      </c>
    </row>
    <row r="62" spans="1:5" x14ac:dyDescent="0.25">
      <c r="A62" t="s">
        <v>2</v>
      </c>
      <c r="B62">
        <v>3115202456.666667</v>
      </c>
      <c r="C62">
        <v>13205153215</v>
      </c>
    </row>
    <row r="63" spans="1:5" x14ac:dyDescent="0.25">
      <c r="A63" t="s">
        <v>3</v>
      </c>
      <c r="B63">
        <v>2959157980.833333</v>
      </c>
      <c r="C63">
        <v>18067089295.833328</v>
      </c>
    </row>
    <row r="64" spans="1:5" x14ac:dyDescent="0.25">
      <c r="A64" t="s">
        <v>3</v>
      </c>
      <c r="B64">
        <v>2959151200.833333</v>
      </c>
      <c r="C64">
        <v>18067066130.833328</v>
      </c>
    </row>
    <row r="65" spans="1:3" x14ac:dyDescent="0.25">
      <c r="A65" t="s">
        <v>4</v>
      </c>
      <c r="B65">
        <v>3733596901.666667</v>
      </c>
      <c r="C65">
        <v>19297794323.333328</v>
      </c>
    </row>
    <row r="66" spans="1:3" x14ac:dyDescent="0.25">
      <c r="A66" t="s">
        <v>4</v>
      </c>
      <c r="B66">
        <v>3496870790.833333</v>
      </c>
      <c r="C66">
        <v>15517022078.33333</v>
      </c>
    </row>
    <row r="67" spans="1:3" x14ac:dyDescent="0.25">
      <c r="A67" t="s">
        <v>5</v>
      </c>
      <c r="B67">
        <v>3289127867.5</v>
      </c>
      <c r="C67">
        <v>17573652170.83334</v>
      </c>
    </row>
    <row r="68" spans="1:3" x14ac:dyDescent="0.25">
      <c r="A68" t="s">
        <v>5</v>
      </c>
      <c r="B68">
        <v>3222168808.333333</v>
      </c>
      <c r="C68">
        <v>16948586926.66667</v>
      </c>
    </row>
    <row r="69" spans="1:3" x14ac:dyDescent="0.25">
      <c r="A69" t="s">
        <v>6</v>
      </c>
      <c r="B69">
        <v>3003867995.833333</v>
      </c>
      <c r="C69">
        <v>15832019091.66667</v>
      </c>
    </row>
    <row r="70" spans="1:3" x14ac:dyDescent="0.25">
      <c r="A70" t="s">
        <v>6</v>
      </c>
      <c r="B70">
        <v>3108380010.833333</v>
      </c>
      <c r="C70">
        <v>18772059593.33334</v>
      </c>
    </row>
    <row r="71" spans="1:3" x14ac:dyDescent="0.25">
      <c r="A71" t="s">
        <v>7</v>
      </c>
      <c r="B71">
        <v>3441837261.666667</v>
      </c>
      <c r="C71">
        <v>18982708110.83334</v>
      </c>
    </row>
    <row r="72" spans="1:3" x14ac:dyDescent="0.25">
      <c r="A72" t="s">
        <v>7</v>
      </c>
      <c r="B72">
        <v>3359955141.666667</v>
      </c>
      <c r="C72">
        <v>17567345345.83334</v>
      </c>
    </row>
    <row r="73" spans="1:3" x14ac:dyDescent="0.25">
      <c r="A73" t="s">
        <v>8</v>
      </c>
      <c r="B73">
        <v>4614982615.833333</v>
      </c>
      <c r="C73">
        <v>21878193790</v>
      </c>
    </row>
    <row r="74" spans="1:3" x14ac:dyDescent="0.25">
      <c r="A74" t="s">
        <v>8</v>
      </c>
      <c r="B74">
        <v>2990088291.666667</v>
      </c>
      <c r="C74">
        <v>16671190059.16667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4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1" customWidth="1"/>
    <col min="3" max="3" width="13" customWidth="1"/>
    <col min="4" max="5" width="10" customWidth="1"/>
    <col min="6" max="6" width="20" customWidth="1"/>
    <col min="7" max="31" width="8" customWidth="1"/>
    <col min="32" max="43" width="9" customWidth="1"/>
    <col min="44" max="53" width="8" customWidth="1"/>
    <col min="54" max="54" width="9" customWidth="1"/>
    <col min="55" max="61" width="8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5054884</v>
      </c>
      <c r="D2">
        <v>4739676</v>
      </c>
      <c r="E2">
        <v>5370092</v>
      </c>
      <c r="F2">
        <v>315208</v>
      </c>
    </row>
    <row r="3" spans="1:6" x14ac:dyDescent="0.25">
      <c r="A3" t="s">
        <v>1</v>
      </c>
      <c r="B3">
        <v>2</v>
      </c>
      <c r="C3">
        <v>18786593.5</v>
      </c>
      <c r="D3">
        <v>18242633</v>
      </c>
      <c r="E3">
        <v>19330554</v>
      </c>
      <c r="F3">
        <v>543960.5</v>
      </c>
    </row>
    <row r="4" spans="1:6" x14ac:dyDescent="0.25">
      <c r="A4" t="s">
        <v>2</v>
      </c>
      <c r="B4">
        <v>1</v>
      </c>
      <c r="C4">
        <v>5055225.5</v>
      </c>
      <c r="D4">
        <v>4811162</v>
      </c>
      <c r="E4">
        <v>5299289</v>
      </c>
      <c r="F4">
        <v>244063.5</v>
      </c>
    </row>
    <row r="5" spans="1:6" x14ac:dyDescent="0.25">
      <c r="A5" t="s">
        <v>2</v>
      </c>
      <c r="B5">
        <v>2</v>
      </c>
      <c r="C5">
        <v>21612919</v>
      </c>
      <c r="D5">
        <v>19985840</v>
      </c>
      <c r="E5">
        <v>23239998</v>
      </c>
      <c r="F5">
        <v>1627079</v>
      </c>
    </row>
    <row r="6" spans="1:6" x14ac:dyDescent="0.25">
      <c r="A6" t="s">
        <v>3</v>
      </c>
      <c r="B6">
        <v>1</v>
      </c>
      <c r="C6">
        <v>4478381</v>
      </c>
      <c r="D6">
        <v>4478375</v>
      </c>
      <c r="E6">
        <v>4478387</v>
      </c>
      <c r="F6">
        <v>6</v>
      </c>
    </row>
    <row r="7" spans="1:6" x14ac:dyDescent="0.25">
      <c r="A7" t="s">
        <v>3</v>
      </c>
      <c r="B7">
        <v>2</v>
      </c>
      <c r="C7">
        <v>27568180.5</v>
      </c>
      <c r="D7">
        <v>27568160</v>
      </c>
      <c r="E7">
        <v>27568201</v>
      </c>
      <c r="F7">
        <v>20.5</v>
      </c>
    </row>
    <row r="8" spans="1:6" x14ac:dyDescent="0.25">
      <c r="A8" t="s">
        <v>4</v>
      </c>
      <c r="B8">
        <v>1</v>
      </c>
      <c r="C8">
        <v>6008723.5</v>
      </c>
      <c r="D8">
        <v>5868298</v>
      </c>
      <c r="E8">
        <v>6149149</v>
      </c>
      <c r="F8">
        <v>140425.5</v>
      </c>
    </row>
    <row r="9" spans="1:6" x14ac:dyDescent="0.25">
      <c r="A9" t="s">
        <v>4</v>
      </c>
      <c r="B9">
        <v>2</v>
      </c>
      <c r="C9">
        <v>26739083</v>
      </c>
      <c r="D9">
        <v>23480438</v>
      </c>
      <c r="E9">
        <v>29997728</v>
      </c>
      <c r="F9">
        <v>3258645</v>
      </c>
    </row>
    <row r="10" spans="1:6" x14ac:dyDescent="0.25">
      <c r="A10" t="s">
        <v>5</v>
      </c>
      <c r="B10">
        <v>1</v>
      </c>
      <c r="C10">
        <v>5265147</v>
      </c>
      <c r="D10">
        <v>5231300</v>
      </c>
      <c r="E10">
        <v>5298994</v>
      </c>
      <c r="F10">
        <v>33847</v>
      </c>
    </row>
    <row r="11" spans="1:6" x14ac:dyDescent="0.25">
      <c r="A11" t="s">
        <v>5</v>
      </c>
      <c r="B11">
        <v>2</v>
      </c>
      <c r="C11">
        <v>26461867</v>
      </c>
      <c r="D11">
        <v>25911330</v>
      </c>
      <c r="E11">
        <v>27012404</v>
      </c>
      <c r="F11">
        <v>550537</v>
      </c>
    </row>
    <row r="12" spans="1:6" ht="15" customHeight="1" x14ac:dyDescent="0.25">
      <c r="A12" s="1" t="s">
        <v>6</v>
      </c>
      <c r="B12">
        <v>1</v>
      </c>
      <c r="C12">
        <v>5018454.5</v>
      </c>
      <c r="D12">
        <v>4930282</v>
      </c>
      <c r="E12">
        <v>5106627</v>
      </c>
      <c r="F12">
        <v>88172.5</v>
      </c>
    </row>
    <row r="13" spans="1:6" x14ac:dyDescent="0.25">
      <c r="A13" t="s">
        <v>6</v>
      </c>
      <c r="B13">
        <v>2</v>
      </c>
      <c r="C13">
        <v>26711412</v>
      </c>
      <c r="D13">
        <v>24120488</v>
      </c>
      <c r="E13">
        <v>29302336</v>
      </c>
      <c r="F13">
        <v>2590924</v>
      </c>
    </row>
    <row r="14" spans="1:6" x14ac:dyDescent="0.25">
      <c r="A14" t="s">
        <v>7</v>
      </c>
      <c r="B14">
        <v>1</v>
      </c>
      <c r="C14">
        <v>5604954</v>
      </c>
      <c r="D14">
        <v>5603343</v>
      </c>
      <c r="E14">
        <v>5606565</v>
      </c>
      <c r="F14">
        <v>1611</v>
      </c>
    </row>
    <row r="15" spans="1:6" x14ac:dyDescent="0.25">
      <c r="A15" t="s">
        <v>7</v>
      </c>
      <c r="B15">
        <v>2</v>
      </c>
      <c r="C15">
        <v>28358119.5</v>
      </c>
      <c r="D15">
        <v>27044496</v>
      </c>
      <c r="E15">
        <v>29671743</v>
      </c>
      <c r="F15">
        <v>1313623.5</v>
      </c>
    </row>
    <row r="16" spans="1:6" x14ac:dyDescent="0.25">
      <c r="A16" t="s">
        <v>8</v>
      </c>
      <c r="B16">
        <v>1</v>
      </c>
      <c r="C16">
        <v>6270022.5</v>
      </c>
      <c r="D16">
        <v>4835919</v>
      </c>
      <c r="E16">
        <v>7704126</v>
      </c>
      <c r="F16">
        <v>1434103.5</v>
      </c>
    </row>
    <row r="17" spans="1:6" x14ac:dyDescent="0.25">
      <c r="A17" t="s">
        <v>8</v>
      </c>
      <c r="B17">
        <v>2</v>
      </c>
      <c r="C17">
        <v>29987527</v>
      </c>
      <c r="D17">
        <v>25626894</v>
      </c>
      <c r="E17">
        <v>34348160</v>
      </c>
      <c r="F17">
        <v>4360633</v>
      </c>
    </row>
    <row r="20" spans="1:6" ht="15" customHeight="1" x14ac:dyDescent="0.25">
      <c r="A20" s="4" t="s">
        <v>17</v>
      </c>
    </row>
    <row r="21" spans="1:6" x14ac:dyDescent="0.25">
      <c r="A21" t="s">
        <v>1</v>
      </c>
      <c r="C21">
        <v>11920738.75</v>
      </c>
      <c r="D21">
        <v>4739676</v>
      </c>
      <c r="E21">
        <v>19330554</v>
      </c>
      <c r="F21">
        <v>6880231.5369840339</v>
      </c>
    </row>
    <row r="22" spans="1:6" x14ac:dyDescent="0.25">
      <c r="A22" t="s">
        <v>2</v>
      </c>
      <c r="C22">
        <v>13334072.25</v>
      </c>
      <c r="D22">
        <v>4811162</v>
      </c>
      <c r="E22">
        <v>23239998</v>
      </c>
      <c r="F22">
        <v>8360190.1917433795</v>
      </c>
    </row>
    <row r="23" spans="1:6" ht="15" customHeight="1" x14ac:dyDescent="0.25">
      <c r="A23" s="1" t="s">
        <v>3</v>
      </c>
      <c r="C23">
        <v>16023280.75</v>
      </c>
      <c r="D23">
        <v>4478375</v>
      </c>
      <c r="E23">
        <v>27568201</v>
      </c>
      <c r="F23">
        <v>11544899.750009879</v>
      </c>
    </row>
    <row r="24" spans="1:6" x14ac:dyDescent="0.25">
      <c r="A24" t="s">
        <v>4</v>
      </c>
      <c r="C24">
        <v>16373903.25</v>
      </c>
      <c r="D24">
        <v>5868298</v>
      </c>
      <c r="E24">
        <v>29997728</v>
      </c>
      <c r="F24">
        <v>10618671.97573914</v>
      </c>
    </row>
    <row r="25" spans="1:6" x14ac:dyDescent="0.25">
      <c r="A25" t="s">
        <v>5</v>
      </c>
      <c r="C25">
        <v>15863507</v>
      </c>
      <c r="D25">
        <v>5231300</v>
      </c>
      <c r="E25">
        <v>27012404</v>
      </c>
      <c r="F25">
        <v>10605534.07393937</v>
      </c>
    </row>
    <row r="26" spans="1:6" x14ac:dyDescent="0.25">
      <c r="A26" t="s">
        <v>6</v>
      </c>
      <c r="C26">
        <v>15864933.25</v>
      </c>
      <c r="D26">
        <v>4930282</v>
      </c>
      <c r="E26">
        <v>29302336</v>
      </c>
      <c r="F26">
        <v>11000292.362295089</v>
      </c>
    </row>
    <row r="27" spans="1:6" x14ac:dyDescent="0.25">
      <c r="A27" t="s">
        <v>7</v>
      </c>
      <c r="C27">
        <v>16981536.75</v>
      </c>
      <c r="D27">
        <v>5603343</v>
      </c>
      <c r="E27">
        <v>29671743</v>
      </c>
      <c r="F27">
        <v>11414439.96502387</v>
      </c>
    </row>
    <row r="28" spans="1:6" ht="15" customHeight="1" x14ac:dyDescent="0.25">
      <c r="A28" s="1" t="s">
        <v>8</v>
      </c>
      <c r="C28">
        <v>18128774.75</v>
      </c>
      <c r="D28">
        <v>4835919</v>
      </c>
      <c r="E28">
        <v>34348160</v>
      </c>
      <c r="F28">
        <v>12294953.9011572</v>
      </c>
    </row>
    <row r="31" spans="1:6" ht="15" customHeight="1" x14ac:dyDescent="0.25">
      <c r="A31" s="4" t="s">
        <v>18</v>
      </c>
    </row>
    <row r="32" spans="1:6" x14ac:dyDescent="0.25">
      <c r="A32" t="s">
        <v>19</v>
      </c>
      <c r="B32">
        <v>1</v>
      </c>
      <c r="C32">
        <v>2</v>
      </c>
    </row>
    <row r="33" spans="1:5" x14ac:dyDescent="0.25">
      <c r="A33" t="s">
        <v>1</v>
      </c>
      <c r="B33">
        <v>5054884</v>
      </c>
      <c r="C33">
        <v>18786593.5</v>
      </c>
    </row>
    <row r="34" spans="1:5" x14ac:dyDescent="0.25">
      <c r="A34" t="s">
        <v>2</v>
      </c>
      <c r="B34">
        <v>5055225.5</v>
      </c>
      <c r="C34">
        <v>21612919</v>
      </c>
    </row>
    <row r="35" spans="1:5" ht="15" customHeight="1" x14ac:dyDescent="0.25">
      <c r="A35" s="1" t="s">
        <v>3</v>
      </c>
      <c r="B35">
        <v>4478381</v>
      </c>
      <c r="C35">
        <v>27568180.5</v>
      </c>
    </row>
    <row r="36" spans="1:5" ht="15" customHeight="1" x14ac:dyDescent="0.25">
      <c r="A36" s="1" t="s">
        <v>4</v>
      </c>
      <c r="B36">
        <v>6008723.5</v>
      </c>
      <c r="C36">
        <v>26739083</v>
      </c>
    </row>
    <row r="37" spans="1:5" x14ac:dyDescent="0.25">
      <c r="A37" t="s">
        <v>5</v>
      </c>
      <c r="B37">
        <v>5265147</v>
      </c>
      <c r="C37">
        <v>26461867</v>
      </c>
    </row>
    <row r="38" spans="1:5" x14ac:dyDescent="0.25">
      <c r="A38" t="s">
        <v>6</v>
      </c>
      <c r="B38">
        <v>5018454.5</v>
      </c>
      <c r="C38">
        <v>26711412</v>
      </c>
    </row>
    <row r="39" spans="1:5" ht="15" customHeight="1" x14ac:dyDescent="0.25">
      <c r="A39" s="1" t="s">
        <v>7</v>
      </c>
      <c r="B39">
        <v>5604954</v>
      </c>
      <c r="C39">
        <v>28358119.5</v>
      </c>
    </row>
    <row r="40" spans="1:5" x14ac:dyDescent="0.25">
      <c r="A40" t="s">
        <v>8</v>
      </c>
      <c r="B40">
        <v>6270022.5</v>
      </c>
      <c r="C40">
        <v>29987527</v>
      </c>
    </row>
    <row r="43" spans="1:5" ht="15" customHeight="1" x14ac:dyDescent="0.25">
      <c r="A43" s="4" t="s">
        <v>20</v>
      </c>
    </row>
    <row r="44" spans="1:5" x14ac:dyDescent="0.25">
      <c r="A44" t="s">
        <v>19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1</v>
      </c>
      <c r="B45">
        <v>4739676</v>
      </c>
      <c r="C45">
        <v>5370092</v>
      </c>
      <c r="D45">
        <v>18242633</v>
      </c>
      <c r="E45">
        <v>19330554</v>
      </c>
    </row>
    <row r="46" spans="1:5" x14ac:dyDescent="0.25">
      <c r="A46" t="s">
        <v>2</v>
      </c>
      <c r="B46">
        <v>4811162</v>
      </c>
      <c r="C46">
        <v>5299289</v>
      </c>
      <c r="D46">
        <v>23239998</v>
      </c>
      <c r="E46">
        <v>19985840</v>
      </c>
    </row>
    <row r="47" spans="1:5" ht="15" customHeight="1" x14ac:dyDescent="0.25">
      <c r="A47" s="1" t="s">
        <v>3</v>
      </c>
      <c r="B47">
        <v>4478387</v>
      </c>
      <c r="C47">
        <v>4478375</v>
      </c>
      <c r="D47">
        <v>27568201</v>
      </c>
      <c r="E47">
        <v>27568160</v>
      </c>
    </row>
    <row r="48" spans="1:5" x14ac:dyDescent="0.25">
      <c r="A48" t="s">
        <v>4</v>
      </c>
      <c r="B48">
        <v>6149149</v>
      </c>
      <c r="C48">
        <v>5868298</v>
      </c>
      <c r="D48">
        <v>29997728</v>
      </c>
      <c r="E48">
        <v>23480438</v>
      </c>
    </row>
    <row r="49" spans="1:5" x14ac:dyDescent="0.25">
      <c r="A49" t="s">
        <v>5</v>
      </c>
      <c r="B49">
        <v>5231300</v>
      </c>
      <c r="C49">
        <v>5298994</v>
      </c>
      <c r="D49">
        <v>27012404</v>
      </c>
      <c r="E49">
        <v>25911330</v>
      </c>
    </row>
    <row r="50" spans="1:5" x14ac:dyDescent="0.25">
      <c r="A50" t="s">
        <v>6</v>
      </c>
      <c r="B50">
        <v>4930282</v>
      </c>
      <c r="C50">
        <v>5106627</v>
      </c>
      <c r="D50">
        <v>24120488</v>
      </c>
      <c r="E50">
        <v>29302336</v>
      </c>
    </row>
    <row r="51" spans="1:5" ht="15" customHeight="1" x14ac:dyDescent="0.25">
      <c r="A51" s="1" t="s">
        <v>7</v>
      </c>
      <c r="B51">
        <v>5603343</v>
      </c>
      <c r="C51">
        <v>5606565</v>
      </c>
      <c r="D51">
        <v>29671743</v>
      </c>
      <c r="E51">
        <v>27044496</v>
      </c>
    </row>
    <row r="52" spans="1:5" x14ac:dyDescent="0.25">
      <c r="A52" t="s">
        <v>8</v>
      </c>
      <c r="B52">
        <v>7704126</v>
      </c>
      <c r="C52">
        <v>4835919</v>
      </c>
      <c r="D52">
        <v>34348160</v>
      </c>
      <c r="E52">
        <v>25626894</v>
      </c>
    </row>
    <row r="56" spans="1:5" x14ac:dyDescent="0.25">
      <c r="A56" t="s">
        <v>20</v>
      </c>
    </row>
    <row r="57" spans="1:5" x14ac:dyDescent="0.25">
      <c r="A57" t="s">
        <v>20</v>
      </c>
      <c r="B57" t="s">
        <v>21</v>
      </c>
      <c r="C57" t="s">
        <v>22</v>
      </c>
    </row>
    <row r="58" spans="1:5" x14ac:dyDescent="0.25">
      <c r="A58" t="s">
        <v>19</v>
      </c>
      <c r="B58" t="s">
        <v>21</v>
      </c>
      <c r="C58" t="s">
        <v>22</v>
      </c>
    </row>
    <row r="59" spans="1:5" ht="15" customHeight="1" x14ac:dyDescent="0.25">
      <c r="A59" s="1" t="s">
        <v>1</v>
      </c>
      <c r="B59">
        <v>4739676</v>
      </c>
      <c r="C59">
        <v>18242633</v>
      </c>
    </row>
    <row r="60" spans="1:5" x14ac:dyDescent="0.25">
      <c r="A60" t="s">
        <v>1</v>
      </c>
      <c r="B60">
        <v>5370092</v>
      </c>
      <c r="C60">
        <v>19330554</v>
      </c>
    </row>
    <row r="61" spans="1:5" x14ac:dyDescent="0.25">
      <c r="A61" t="s">
        <v>2</v>
      </c>
      <c r="B61">
        <v>4811162</v>
      </c>
      <c r="C61">
        <v>23239998</v>
      </c>
    </row>
    <row r="62" spans="1:5" x14ac:dyDescent="0.25">
      <c r="A62" t="s">
        <v>2</v>
      </c>
      <c r="B62">
        <v>5299289</v>
      </c>
      <c r="C62">
        <v>19985840</v>
      </c>
    </row>
    <row r="63" spans="1:5" x14ac:dyDescent="0.25">
      <c r="A63" t="s">
        <v>3</v>
      </c>
      <c r="B63">
        <v>4478387</v>
      </c>
      <c r="C63">
        <v>27568201</v>
      </c>
    </row>
    <row r="64" spans="1:5" x14ac:dyDescent="0.25">
      <c r="A64" t="s">
        <v>3</v>
      </c>
      <c r="B64">
        <v>4478375</v>
      </c>
      <c r="C64">
        <v>27568160</v>
      </c>
    </row>
    <row r="65" spans="1:3" x14ac:dyDescent="0.25">
      <c r="A65" t="s">
        <v>4</v>
      </c>
      <c r="B65">
        <v>6149149</v>
      </c>
      <c r="C65">
        <v>29997728</v>
      </c>
    </row>
    <row r="66" spans="1:3" x14ac:dyDescent="0.25">
      <c r="A66" t="s">
        <v>4</v>
      </c>
      <c r="B66">
        <v>5868298</v>
      </c>
      <c r="C66">
        <v>23480438</v>
      </c>
    </row>
    <row r="67" spans="1:3" x14ac:dyDescent="0.25">
      <c r="A67" t="s">
        <v>5</v>
      </c>
      <c r="B67">
        <v>5231300</v>
      </c>
      <c r="C67">
        <v>27012404</v>
      </c>
    </row>
    <row r="68" spans="1:3" x14ac:dyDescent="0.25">
      <c r="A68" t="s">
        <v>5</v>
      </c>
      <c r="B68">
        <v>5298994</v>
      </c>
      <c r="C68">
        <v>25911330</v>
      </c>
    </row>
    <row r="69" spans="1:3" x14ac:dyDescent="0.25">
      <c r="A69" t="s">
        <v>6</v>
      </c>
      <c r="B69">
        <v>4930282</v>
      </c>
      <c r="C69">
        <v>24120488</v>
      </c>
    </row>
    <row r="70" spans="1:3" x14ac:dyDescent="0.25">
      <c r="A70" t="s">
        <v>6</v>
      </c>
      <c r="B70">
        <v>5106627</v>
      </c>
      <c r="C70">
        <v>29302336</v>
      </c>
    </row>
    <row r="71" spans="1:3" x14ac:dyDescent="0.25">
      <c r="A71" t="s">
        <v>7</v>
      </c>
      <c r="B71">
        <v>5603343</v>
      </c>
      <c r="C71">
        <v>29671743</v>
      </c>
    </row>
    <row r="72" spans="1:3" x14ac:dyDescent="0.25">
      <c r="A72" t="s">
        <v>7</v>
      </c>
      <c r="B72">
        <v>5606565</v>
      </c>
      <c r="C72">
        <v>27044496</v>
      </c>
    </row>
    <row r="73" spans="1:3" x14ac:dyDescent="0.25">
      <c r="A73" t="s">
        <v>8</v>
      </c>
      <c r="B73">
        <v>7704126</v>
      </c>
      <c r="C73">
        <v>34348160</v>
      </c>
    </row>
    <row r="74" spans="1:3" x14ac:dyDescent="0.25">
      <c r="A74" t="s">
        <v>8</v>
      </c>
      <c r="B74">
        <v>4835919</v>
      </c>
      <c r="C74">
        <v>25626894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6" customWidth="1"/>
    <col min="3" max="3" width="9" customWidth="1"/>
    <col min="4" max="5" width="6" customWidth="1"/>
    <col min="6" max="6" width="20" customWidth="1"/>
    <col min="7" max="61" width="2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ht="15" customHeight="1" x14ac:dyDescent="0.25">
      <c r="A2" t="s">
        <v>1</v>
      </c>
      <c r="B2">
        <v>1</v>
      </c>
      <c r="C2">
        <v>1</v>
      </c>
      <c r="D2" s="2" t="b">
        <v>1</v>
      </c>
      <c r="E2" s="2" t="b">
        <v>1</v>
      </c>
      <c r="F2">
        <v>0</v>
      </c>
    </row>
    <row r="3" spans="1:6" ht="15" customHeight="1" x14ac:dyDescent="0.25">
      <c r="A3" t="s">
        <v>1</v>
      </c>
      <c r="B3">
        <v>2</v>
      </c>
      <c r="C3">
        <v>1</v>
      </c>
      <c r="D3" s="2" t="b">
        <v>1</v>
      </c>
      <c r="E3" s="2" t="b">
        <v>1</v>
      </c>
      <c r="F3">
        <v>0</v>
      </c>
    </row>
    <row r="4" spans="1:6" ht="15" customHeight="1" x14ac:dyDescent="0.25">
      <c r="A4" t="s">
        <v>2</v>
      </c>
      <c r="B4">
        <v>1</v>
      </c>
      <c r="C4">
        <v>1</v>
      </c>
      <c r="D4" s="2" t="b">
        <v>1</v>
      </c>
      <c r="E4" s="2" t="b">
        <v>1</v>
      </c>
      <c r="F4">
        <v>0</v>
      </c>
    </row>
    <row r="5" spans="1:6" ht="15" customHeight="1" x14ac:dyDescent="0.25">
      <c r="A5" t="s">
        <v>2</v>
      </c>
      <c r="B5">
        <v>2</v>
      </c>
      <c r="C5">
        <v>1</v>
      </c>
      <c r="D5" s="2" t="b">
        <v>1</v>
      </c>
      <c r="E5" s="2" t="b">
        <v>1</v>
      </c>
      <c r="F5">
        <v>0</v>
      </c>
    </row>
    <row r="6" spans="1:6" ht="15" customHeight="1" x14ac:dyDescent="0.25">
      <c r="A6" t="s">
        <v>3</v>
      </c>
      <c r="B6">
        <v>1</v>
      </c>
      <c r="C6">
        <v>1</v>
      </c>
      <c r="D6" s="2" t="b">
        <v>1</v>
      </c>
      <c r="E6" s="2" t="b">
        <v>1</v>
      </c>
      <c r="F6">
        <v>0</v>
      </c>
    </row>
    <row r="7" spans="1:6" ht="15" customHeight="1" x14ac:dyDescent="0.25">
      <c r="A7" t="s">
        <v>3</v>
      </c>
      <c r="B7">
        <v>2</v>
      </c>
      <c r="C7">
        <v>0.5</v>
      </c>
      <c r="D7" s="2" t="b">
        <v>0</v>
      </c>
      <c r="E7" s="2" t="b">
        <v>1</v>
      </c>
      <c r="F7">
        <v>0.5</v>
      </c>
    </row>
    <row r="8" spans="1:6" ht="15" customHeight="1" x14ac:dyDescent="0.25">
      <c r="A8" t="s">
        <v>4</v>
      </c>
      <c r="B8">
        <v>1</v>
      </c>
      <c r="C8">
        <v>1</v>
      </c>
      <c r="D8" s="2" t="b">
        <v>1</v>
      </c>
      <c r="E8" s="2" t="b">
        <v>1</v>
      </c>
      <c r="F8">
        <v>0</v>
      </c>
    </row>
    <row r="9" spans="1:6" ht="15" customHeight="1" x14ac:dyDescent="0.25">
      <c r="A9" t="s">
        <v>4</v>
      </c>
      <c r="B9">
        <v>2</v>
      </c>
      <c r="C9">
        <v>1</v>
      </c>
      <c r="D9" s="2" t="b">
        <v>1</v>
      </c>
      <c r="E9" s="2" t="b">
        <v>1</v>
      </c>
      <c r="F9">
        <v>0</v>
      </c>
    </row>
    <row r="10" spans="1:6" ht="15" customHeight="1" x14ac:dyDescent="0.25">
      <c r="A10" t="s">
        <v>5</v>
      </c>
      <c r="B10">
        <v>1</v>
      </c>
      <c r="C10">
        <v>1</v>
      </c>
      <c r="D10" s="2" t="b">
        <v>1</v>
      </c>
      <c r="E10" s="2" t="b">
        <v>1</v>
      </c>
      <c r="F10">
        <v>0</v>
      </c>
    </row>
    <row r="11" spans="1:6" ht="15" customHeight="1" x14ac:dyDescent="0.25">
      <c r="A11" t="s">
        <v>5</v>
      </c>
      <c r="B11">
        <v>2</v>
      </c>
      <c r="C11">
        <v>1</v>
      </c>
      <c r="D11" s="2" t="b">
        <v>1</v>
      </c>
      <c r="E11" s="2" t="b">
        <v>1</v>
      </c>
      <c r="F11">
        <v>0</v>
      </c>
    </row>
    <row r="12" spans="1:6" ht="15" customHeight="1" x14ac:dyDescent="0.25">
      <c r="A12" s="1" t="s">
        <v>6</v>
      </c>
      <c r="B12">
        <v>1</v>
      </c>
      <c r="C12">
        <v>1</v>
      </c>
      <c r="D12" s="2" t="b">
        <v>1</v>
      </c>
      <c r="E12" s="2" t="b">
        <v>1</v>
      </c>
      <c r="F12">
        <v>0</v>
      </c>
    </row>
    <row r="13" spans="1:6" ht="15" customHeight="1" x14ac:dyDescent="0.25">
      <c r="A13" t="s">
        <v>6</v>
      </c>
      <c r="B13">
        <v>2</v>
      </c>
      <c r="C13">
        <v>0.5</v>
      </c>
      <c r="D13" s="2" t="b">
        <v>0</v>
      </c>
      <c r="E13" s="2" t="b">
        <v>1</v>
      </c>
      <c r="F13">
        <v>0.5</v>
      </c>
    </row>
    <row r="14" spans="1:6" ht="15" customHeight="1" x14ac:dyDescent="0.25">
      <c r="A14" t="s">
        <v>7</v>
      </c>
      <c r="B14">
        <v>1</v>
      </c>
      <c r="C14">
        <v>1</v>
      </c>
      <c r="D14" s="2" t="b">
        <v>1</v>
      </c>
      <c r="E14" s="2" t="b">
        <v>1</v>
      </c>
      <c r="F14">
        <v>0</v>
      </c>
    </row>
    <row r="15" spans="1:6" ht="15" customHeight="1" x14ac:dyDescent="0.25">
      <c r="A15" t="s">
        <v>7</v>
      </c>
      <c r="B15">
        <v>2</v>
      </c>
      <c r="C15">
        <v>1</v>
      </c>
      <c r="D15" s="2" t="b">
        <v>1</v>
      </c>
      <c r="E15" s="2" t="b">
        <v>1</v>
      </c>
      <c r="F15">
        <v>0</v>
      </c>
    </row>
    <row r="16" spans="1:6" ht="15" customHeight="1" x14ac:dyDescent="0.25">
      <c r="A16" t="s">
        <v>8</v>
      </c>
      <c r="B16">
        <v>1</v>
      </c>
      <c r="C16">
        <v>1</v>
      </c>
      <c r="D16" s="2" t="b">
        <v>1</v>
      </c>
      <c r="E16" s="2" t="b">
        <v>1</v>
      </c>
      <c r="F16">
        <v>0</v>
      </c>
    </row>
    <row r="17" spans="1:6" ht="15" customHeight="1" x14ac:dyDescent="0.25">
      <c r="A17" t="s">
        <v>8</v>
      </c>
      <c r="B17">
        <v>2</v>
      </c>
      <c r="C17">
        <v>1</v>
      </c>
      <c r="D17" s="2" t="b">
        <v>1</v>
      </c>
      <c r="E17" s="2" t="b">
        <v>1</v>
      </c>
      <c r="F17">
        <v>0</v>
      </c>
    </row>
    <row r="18" spans="1:6" ht="15" customHeight="1" x14ac:dyDescent="0.25">
      <c r="D18" s="2"/>
      <c r="E18" s="2"/>
    </row>
    <row r="19" spans="1:6" ht="15" customHeight="1" x14ac:dyDescent="0.25">
      <c r="D19" s="2"/>
      <c r="E19" s="2"/>
    </row>
    <row r="20" spans="1:6" ht="15" customHeight="1" x14ac:dyDescent="0.25">
      <c r="A20" s="4" t="s">
        <v>17</v>
      </c>
      <c r="D20" s="2"/>
      <c r="E20" s="2"/>
    </row>
    <row r="21" spans="1:6" ht="15" customHeight="1" x14ac:dyDescent="0.25">
      <c r="A21" t="s">
        <v>1</v>
      </c>
      <c r="C21">
        <v>1</v>
      </c>
      <c r="D21" s="2" t="b">
        <v>1</v>
      </c>
      <c r="E21" s="2" t="b">
        <v>1</v>
      </c>
      <c r="F21">
        <v>0</v>
      </c>
    </row>
    <row r="22" spans="1:6" ht="15" customHeight="1" x14ac:dyDescent="0.25">
      <c r="A22" t="s">
        <v>2</v>
      </c>
      <c r="C22">
        <v>1</v>
      </c>
      <c r="D22" s="2" t="b">
        <v>1</v>
      </c>
      <c r="E22" s="2" t="b">
        <v>1</v>
      </c>
      <c r="F22">
        <v>0</v>
      </c>
    </row>
    <row r="23" spans="1:6" ht="15" customHeight="1" x14ac:dyDescent="0.25">
      <c r="A23" s="1" t="s">
        <v>3</v>
      </c>
      <c r="C23">
        <v>0.75</v>
      </c>
      <c r="D23" s="2" t="b">
        <v>0</v>
      </c>
      <c r="E23" s="2" t="b">
        <v>1</v>
      </c>
      <c r="F23">
        <v>0.4330127018922193</v>
      </c>
    </row>
    <row r="24" spans="1:6" ht="15" customHeight="1" x14ac:dyDescent="0.25">
      <c r="A24" t="s">
        <v>4</v>
      </c>
      <c r="C24">
        <v>1</v>
      </c>
      <c r="D24" s="2" t="b">
        <v>1</v>
      </c>
      <c r="E24" s="2" t="b">
        <v>1</v>
      </c>
      <c r="F24">
        <v>0</v>
      </c>
    </row>
    <row r="25" spans="1:6" ht="15" customHeight="1" x14ac:dyDescent="0.25">
      <c r="A25" t="s">
        <v>5</v>
      </c>
      <c r="C25">
        <v>1</v>
      </c>
      <c r="D25" s="2" t="b">
        <v>1</v>
      </c>
      <c r="E25" s="2" t="b">
        <v>1</v>
      </c>
      <c r="F25">
        <v>0</v>
      </c>
    </row>
    <row r="26" spans="1:6" ht="15" customHeight="1" x14ac:dyDescent="0.25">
      <c r="A26" t="s">
        <v>6</v>
      </c>
      <c r="C26">
        <v>0.75</v>
      </c>
      <c r="D26" s="2" t="b">
        <v>0</v>
      </c>
      <c r="E26" s="2" t="b">
        <v>1</v>
      </c>
      <c r="F26">
        <v>0.4330127018922193</v>
      </c>
    </row>
    <row r="27" spans="1:6" ht="15" customHeight="1" x14ac:dyDescent="0.25">
      <c r="A27" t="s">
        <v>7</v>
      </c>
      <c r="C27">
        <v>1</v>
      </c>
      <c r="D27" s="2" t="b">
        <v>1</v>
      </c>
      <c r="E27" s="2" t="b">
        <v>1</v>
      </c>
      <c r="F27">
        <v>0</v>
      </c>
    </row>
    <row r="28" spans="1:6" ht="15" customHeight="1" x14ac:dyDescent="0.25">
      <c r="A28" s="1" t="s">
        <v>8</v>
      </c>
      <c r="C28">
        <v>1</v>
      </c>
      <c r="D28" s="2" t="b">
        <v>1</v>
      </c>
      <c r="E28" s="2" t="b">
        <v>1</v>
      </c>
      <c r="F28">
        <v>0</v>
      </c>
    </row>
    <row r="29" spans="1:6" ht="15" customHeight="1" x14ac:dyDescent="0.25">
      <c r="D29" s="2"/>
      <c r="E29" s="2"/>
    </row>
    <row r="30" spans="1:6" ht="15" customHeight="1" x14ac:dyDescent="0.25">
      <c r="D30" s="2"/>
      <c r="E30" s="2"/>
    </row>
    <row r="31" spans="1:6" ht="15" customHeight="1" x14ac:dyDescent="0.25">
      <c r="A31" s="4" t="s">
        <v>18</v>
      </c>
      <c r="D31" s="2"/>
      <c r="E31" s="2"/>
    </row>
    <row r="32" spans="1:6" ht="15" customHeight="1" x14ac:dyDescent="0.25">
      <c r="A32" t="s">
        <v>19</v>
      </c>
      <c r="B32">
        <v>1</v>
      </c>
      <c r="C32">
        <v>2</v>
      </c>
      <c r="D32" s="2"/>
      <c r="E32" s="2"/>
    </row>
    <row r="33" spans="1:11" ht="15" customHeight="1" x14ac:dyDescent="0.25">
      <c r="A33" t="s">
        <v>1</v>
      </c>
      <c r="B33">
        <v>1</v>
      </c>
      <c r="C33">
        <v>1</v>
      </c>
      <c r="D33" s="2"/>
      <c r="E33" s="2"/>
    </row>
    <row r="34" spans="1:11" ht="15" customHeight="1" x14ac:dyDescent="0.25">
      <c r="A34" t="s">
        <v>2</v>
      </c>
      <c r="B34">
        <v>1</v>
      </c>
      <c r="C34">
        <v>1</v>
      </c>
      <c r="D34" s="2"/>
      <c r="E34" s="2"/>
    </row>
    <row r="35" spans="1:11" ht="15" customHeight="1" x14ac:dyDescent="0.25">
      <c r="A35" s="1" t="s">
        <v>3</v>
      </c>
      <c r="B35">
        <v>1</v>
      </c>
      <c r="C35">
        <v>0.5</v>
      </c>
      <c r="D35" s="2"/>
      <c r="E35" s="2"/>
    </row>
    <row r="36" spans="1:11" ht="15" customHeight="1" x14ac:dyDescent="0.25">
      <c r="A36" s="1" t="s">
        <v>4</v>
      </c>
      <c r="B36">
        <v>1</v>
      </c>
      <c r="C36">
        <v>1</v>
      </c>
      <c r="D36" s="2"/>
      <c r="E36" s="2"/>
    </row>
    <row r="37" spans="1:11" ht="15" customHeight="1" x14ac:dyDescent="0.25">
      <c r="A37" t="s">
        <v>5</v>
      </c>
      <c r="B37">
        <v>1</v>
      </c>
      <c r="C37">
        <v>1</v>
      </c>
      <c r="D37" s="2"/>
      <c r="E37" s="2"/>
      <c r="F37" s="2"/>
      <c r="G37" s="2"/>
      <c r="H37" s="2"/>
      <c r="I37" s="2"/>
      <c r="J37" s="2"/>
      <c r="K37" s="2"/>
    </row>
    <row r="38" spans="1:11" ht="15" customHeight="1" x14ac:dyDescent="0.25">
      <c r="A38" t="s">
        <v>6</v>
      </c>
      <c r="B38">
        <v>1</v>
      </c>
      <c r="C38">
        <v>0.5</v>
      </c>
      <c r="D38" s="2"/>
      <c r="E38" s="2"/>
      <c r="F38" s="2"/>
      <c r="G38" s="2"/>
      <c r="H38" s="2"/>
      <c r="I38" s="2"/>
      <c r="J38" s="2"/>
      <c r="K38" s="2"/>
    </row>
    <row r="39" spans="1:11" ht="15" customHeight="1" x14ac:dyDescent="0.25">
      <c r="A39" s="1" t="s">
        <v>7</v>
      </c>
      <c r="B39">
        <v>1</v>
      </c>
      <c r="C39">
        <v>1</v>
      </c>
      <c r="D39" s="2"/>
      <c r="E39" s="2"/>
      <c r="F39" s="2"/>
      <c r="G39" s="2"/>
      <c r="H39" s="2"/>
      <c r="I39" s="2"/>
      <c r="J39" s="2"/>
      <c r="K39" s="2"/>
    </row>
    <row r="40" spans="1:11" ht="15" customHeight="1" x14ac:dyDescent="0.25">
      <c r="A40" t="s">
        <v>8</v>
      </c>
      <c r="B40">
        <v>1</v>
      </c>
      <c r="C40">
        <v>1</v>
      </c>
      <c r="E40" s="2"/>
      <c r="F40" s="2"/>
      <c r="G40" s="2"/>
      <c r="H40" s="2"/>
      <c r="I40" s="2"/>
      <c r="J40" s="2"/>
      <c r="K40" s="2"/>
    </row>
    <row r="41" spans="1:11" ht="15" customHeight="1" x14ac:dyDescent="0.25">
      <c r="E41" s="2"/>
      <c r="F41" s="2"/>
      <c r="G41" s="2"/>
      <c r="H41" s="2"/>
      <c r="I41" s="2"/>
      <c r="J41" s="2"/>
      <c r="K41" s="2"/>
    </row>
    <row r="42" spans="1:11" ht="15" customHeight="1" x14ac:dyDescent="0.25">
      <c r="E42" s="2"/>
      <c r="F42" s="2"/>
      <c r="G42" s="2"/>
      <c r="H42" s="2"/>
      <c r="I42" s="2"/>
      <c r="J42" s="2"/>
      <c r="K42" s="2"/>
    </row>
    <row r="43" spans="1:11" ht="15" customHeight="1" x14ac:dyDescent="0.25">
      <c r="A43" s="4" t="s">
        <v>20</v>
      </c>
      <c r="E43" s="2"/>
      <c r="F43" s="2"/>
      <c r="G43" s="2"/>
      <c r="H43" s="2"/>
      <c r="I43" s="2"/>
      <c r="J43" s="2"/>
      <c r="K43" s="2"/>
    </row>
    <row r="44" spans="1:11" x14ac:dyDescent="0.25">
      <c r="A44" t="s">
        <v>19</v>
      </c>
      <c r="B44">
        <v>1</v>
      </c>
      <c r="C44">
        <v>1</v>
      </c>
      <c r="D44">
        <v>2</v>
      </c>
      <c r="E44">
        <v>2</v>
      </c>
    </row>
    <row r="45" spans="1:11" ht="15" customHeight="1" x14ac:dyDescent="0.25">
      <c r="A45" t="s">
        <v>1</v>
      </c>
      <c r="B45" t="b">
        <v>1</v>
      </c>
      <c r="C45" t="b">
        <v>1</v>
      </c>
      <c r="D45" t="b">
        <v>1</v>
      </c>
      <c r="E45" s="2" t="b">
        <v>1</v>
      </c>
      <c r="F45" s="2"/>
      <c r="G45" s="2"/>
      <c r="H45" s="2"/>
      <c r="I45" s="2"/>
      <c r="J45" s="2"/>
      <c r="K45" s="2"/>
    </row>
    <row r="46" spans="1:11" ht="15" customHeight="1" x14ac:dyDescent="0.25">
      <c r="A46" t="s">
        <v>2</v>
      </c>
      <c r="B46" t="b">
        <v>1</v>
      </c>
      <c r="C46" t="b">
        <v>1</v>
      </c>
      <c r="D46" t="b">
        <v>1</v>
      </c>
      <c r="E46" s="2" t="b">
        <v>1</v>
      </c>
      <c r="F46" s="2"/>
      <c r="G46" s="2"/>
      <c r="H46" s="2"/>
      <c r="I46" s="2"/>
      <c r="J46" s="2"/>
      <c r="K46" s="2"/>
    </row>
    <row r="47" spans="1:11" ht="15" customHeight="1" x14ac:dyDescent="0.25">
      <c r="A47" s="1" t="s">
        <v>3</v>
      </c>
      <c r="B47" t="b">
        <v>1</v>
      </c>
      <c r="C47" t="b">
        <v>1</v>
      </c>
      <c r="D47" t="b">
        <v>1</v>
      </c>
      <c r="E47" s="2" t="b">
        <v>0</v>
      </c>
      <c r="F47" s="2"/>
      <c r="G47" s="2"/>
      <c r="H47" s="2"/>
      <c r="I47" s="2"/>
      <c r="J47" s="2"/>
      <c r="K47" s="2"/>
    </row>
    <row r="48" spans="1:11" ht="15" customHeight="1" x14ac:dyDescent="0.25">
      <c r="A48" t="s">
        <v>4</v>
      </c>
      <c r="B48" t="b">
        <v>1</v>
      </c>
      <c r="C48" t="b">
        <v>1</v>
      </c>
      <c r="D48" t="b">
        <v>1</v>
      </c>
      <c r="E48" s="2" t="b">
        <v>1</v>
      </c>
      <c r="F48" s="2"/>
      <c r="G48" s="2"/>
      <c r="H48" s="2"/>
      <c r="I48" s="2"/>
      <c r="J48" s="2"/>
      <c r="K48" s="2"/>
    </row>
    <row r="49" spans="1:61" ht="15" customHeight="1" x14ac:dyDescent="0.25">
      <c r="A49" t="s">
        <v>5</v>
      </c>
      <c r="B49" s="2" t="b">
        <v>1</v>
      </c>
      <c r="C49" s="2" t="b">
        <v>1</v>
      </c>
      <c r="D49" s="2" t="b">
        <v>1</v>
      </c>
      <c r="E49" s="2" t="b">
        <v>1</v>
      </c>
      <c r="F49" s="2"/>
      <c r="G49" s="2"/>
      <c r="H49" s="2"/>
      <c r="I49" s="2"/>
      <c r="J49" s="2"/>
      <c r="K49" s="2"/>
    </row>
    <row r="50" spans="1:61" ht="15" customHeight="1" x14ac:dyDescent="0.25">
      <c r="A50" t="s">
        <v>6</v>
      </c>
      <c r="B50" s="2" t="b">
        <v>1</v>
      </c>
      <c r="C50" s="2" t="b">
        <v>1</v>
      </c>
      <c r="D50" s="2" t="b">
        <v>1</v>
      </c>
      <c r="E50" s="2" t="b">
        <v>0</v>
      </c>
      <c r="F50" s="2"/>
      <c r="G50" s="2"/>
      <c r="H50" s="2"/>
      <c r="I50" s="2"/>
      <c r="J50" s="2"/>
      <c r="K50" s="2"/>
    </row>
    <row r="51" spans="1:61" ht="15" customHeight="1" x14ac:dyDescent="0.25">
      <c r="A51" s="1" t="s">
        <v>7</v>
      </c>
      <c r="B51" s="2" t="b">
        <v>1</v>
      </c>
      <c r="C51" s="2" t="b">
        <v>1</v>
      </c>
      <c r="D51" s="2" t="b">
        <v>1</v>
      </c>
      <c r="E51" s="2" t="b">
        <v>1</v>
      </c>
      <c r="F51" s="2"/>
      <c r="G51" s="2"/>
      <c r="H51" s="2"/>
      <c r="I51" s="2"/>
      <c r="J51" s="2"/>
      <c r="K51" s="2"/>
    </row>
    <row r="52" spans="1:61" x14ac:dyDescent="0.25">
      <c r="A52" t="s">
        <v>8</v>
      </c>
      <c r="B52" t="b">
        <v>1</v>
      </c>
      <c r="C52" t="b">
        <v>1</v>
      </c>
      <c r="D52" t="b">
        <v>1</v>
      </c>
      <c r="E52" t="b">
        <v>1</v>
      </c>
    </row>
    <row r="53" spans="1:61" ht="15" customHeight="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</row>
    <row r="54" spans="1:61" ht="15" customHeight="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</row>
    <row r="55" spans="1:61" ht="15" customHeight="1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</row>
    <row r="56" spans="1:61" ht="1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</row>
    <row r="57" spans="1:61" ht="15" customHeight="1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</row>
    <row r="58" spans="1:61" ht="15" customHeight="1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</row>
    <row r="59" spans="1:61" ht="15" customHeight="1" x14ac:dyDescent="0.2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</row>
    <row r="60" spans="1:61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</row>
    <row r="61" spans="1:61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2:41" ht="1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2:41" ht="1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2:41" ht="1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2:41" ht="1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9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9" customWidth="1"/>
    <col min="3" max="3" width="20" customWidth="1"/>
    <col min="4" max="5" width="19" customWidth="1"/>
    <col min="6" max="6" width="20" customWidth="1"/>
    <col min="7" max="21" width="10" customWidth="1"/>
    <col min="22" max="31" width="11" customWidth="1"/>
    <col min="32" max="33" width="12" customWidth="1"/>
    <col min="34" max="34" width="11" customWidth="1"/>
    <col min="35" max="35" width="12" customWidth="1"/>
    <col min="36" max="37" width="11" customWidth="1"/>
    <col min="38" max="38" width="12" customWidth="1"/>
    <col min="39" max="39" width="11" customWidth="1"/>
    <col min="40" max="41" width="12" customWidth="1"/>
    <col min="42" max="61" width="10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706019.96666666667</v>
      </c>
      <c r="D2">
        <v>664992.43333333335</v>
      </c>
      <c r="E2">
        <v>747047.5</v>
      </c>
      <c r="F2">
        <v>41027.533333333333</v>
      </c>
    </row>
    <row r="3" spans="1:6" x14ac:dyDescent="0.25">
      <c r="A3" t="s">
        <v>1</v>
      </c>
      <c r="B3">
        <v>2</v>
      </c>
      <c r="C3">
        <v>8439512.8166666664</v>
      </c>
      <c r="D3">
        <v>8193132.2000000002</v>
      </c>
      <c r="E3">
        <v>8685893.4333333336</v>
      </c>
      <c r="F3">
        <v>246380.6166666667</v>
      </c>
    </row>
    <row r="4" spans="1:6" x14ac:dyDescent="0.25">
      <c r="A4" t="s">
        <v>2</v>
      </c>
      <c r="B4">
        <v>1</v>
      </c>
      <c r="C4">
        <v>594872.68333333335</v>
      </c>
      <c r="D4">
        <v>589091.80000000005</v>
      </c>
      <c r="E4">
        <v>600653.56666666665</v>
      </c>
      <c r="F4">
        <v>5780.8833333333023</v>
      </c>
    </row>
    <row r="5" spans="1:6" x14ac:dyDescent="0.25">
      <c r="A5" t="s">
        <v>2</v>
      </c>
      <c r="B5">
        <v>2</v>
      </c>
      <c r="C5">
        <v>5811382.3166666664</v>
      </c>
      <c r="D5">
        <v>5792052.0999999996</v>
      </c>
      <c r="E5">
        <v>5830712.5333333332</v>
      </c>
      <c r="F5">
        <v>19330.216666666791</v>
      </c>
    </row>
    <row r="6" spans="1:6" x14ac:dyDescent="0.25">
      <c r="A6" t="s">
        <v>3</v>
      </c>
      <c r="B6">
        <v>1</v>
      </c>
      <c r="C6">
        <v>580964.5</v>
      </c>
      <c r="D6">
        <v>580964.5</v>
      </c>
      <c r="E6">
        <v>580964.5</v>
      </c>
      <c r="F6">
        <v>0</v>
      </c>
    </row>
    <row r="7" spans="1:6" x14ac:dyDescent="0.25">
      <c r="A7" t="s">
        <v>3</v>
      </c>
      <c r="B7">
        <v>2</v>
      </c>
      <c r="C7">
        <v>5619218.2333333334</v>
      </c>
      <c r="D7">
        <v>5619218.2333333334</v>
      </c>
      <c r="E7">
        <v>5619218.2333333334</v>
      </c>
      <c r="F7">
        <v>0</v>
      </c>
    </row>
    <row r="8" spans="1:6" x14ac:dyDescent="0.25">
      <c r="A8" t="s">
        <v>4</v>
      </c>
      <c r="B8">
        <v>1</v>
      </c>
      <c r="C8">
        <v>647267.66666666674</v>
      </c>
      <c r="D8">
        <v>634935.93333333335</v>
      </c>
      <c r="E8">
        <v>659599.4</v>
      </c>
      <c r="F8">
        <v>12331.733333333341</v>
      </c>
    </row>
    <row r="9" spans="1:6" x14ac:dyDescent="0.25">
      <c r="A9" t="s">
        <v>4</v>
      </c>
      <c r="B9">
        <v>2</v>
      </c>
      <c r="C9">
        <v>5619137.7999999998</v>
      </c>
      <c r="D9">
        <v>5566621.333333333</v>
      </c>
      <c r="E9">
        <v>5671654.2666666666</v>
      </c>
      <c r="F9">
        <v>52516.466666666791</v>
      </c>
    </row>
    <row r="10" spans="1:6" x14ac:dyDescent="0.25">
      <c r="A10" t="s">
        <v>5</v>
      </c>
      <c r="B10">
        <v>1</v>
      </c>
      <c r="C10">
        <v>582740.8666666667</v>
      </c>
      <c r="D10">
        <v>520936.83333333331</v>
      </c>
      <c r="E10">
        <v>644544.9</v>
      </c>
      <c r="F10">
        <v>61804.033333333347</v>
      </c>
    </row>
    <row r="11" spans="1:6" x14ac:dyDescent="0.25">
      <c r="A11" t="s">
        <v>5</v>
      </c>
      <c r="B11">
        <v>2</v>
      </c>
      <c r="C11">
        <v>5640802.9500000002</v>
      </c>
      <c r="D11">
        <v>5502618.1333333338</v>
      </c>
      <c r="E11">
        <v>5778987.7666666666</v>
      </c>
      <c r="F11">
        <v>138184.81666666639</v>
      </c>
    </row>
    <row r="12" spans="1:6" ht="15" customHeight="1" x14ac:dyDescent="0.25">
      <c r="A12" s="1" t="s">
        <v>6</v>
      </c>
      <c r="B12">
        <v>1</v>
      </c>
      <c r="C12">
        <v>647037.28333333333</v>
      </c>
      <c r="D12">
        <v>646227.8666666667</v>
      </c>
      <c r="E12">
        <v>647846.69999999995</v>
      </c>
      <c r="F12">
        <v>809.41666666662786</v>
      </c>
    </row>
    <row r="13" spans="1:6" x14ac:dyDescent="0.25">
      <c r="A13" t="s">
        <v>6</v>
      </c>
      <c r="B13">
        <v>2</v>
      </c>
      <c r="C13">
        <v>5756685.916666666</v>
      </c>
      <c r="D13">
        <v>5692881.9666666668</v>
      </c>
      <c r="E13">
        <v>5820489.8666666662</v>
      </c>
      <c r="F13">
        <v>63803.949999999721</v>
      </c>
    </row>
    <row r="14" spans="1:6" x14ac:dyDescent="0.25">
      <c r="A14" t="s">
        <v>7</v>
      </c>
      <c r="B14">
        <v>1</v>
      </c>
      <c r="C14">
        <v>603256.1</v>
      </c>
      <c r="D14">
        <v>576852.6333333333</v>
      </c>
      <c r="E14">
        <v>629659.56666666665</v>
      </c>
      <c r="F14">
        <v>26403.466666666671</v>
      </c>
    </row>
    <row r="15" spans="1:6" x14ac:dyDescent="0.25">
      <c r="A15" t="s">
        <v>7</v>
      </c>
      <c r="B15">
        <v>2</v>
      </c>
      <c r="C15">
        <v>5635421.8499999996</v>
      </c>
      <c r="D15">
        <v>5593455.7333333334</v>
      </c>
      <c r="E15">
        <v>5677387.9666666668</v>
      </c>
      <c r="F15">
        <v>41966.116666666698</v>
      </c>
    </row>
    <row r="16" spans="1:6" x14ac:dyDescent="0.25">
      <c r="A16" t="s">
        <v>8</v>
      </c>
      <c r="B16">
        <v>1</v>
      </c>
      <c r="C16">
        <v>633626.53333333333</v>
      </c>
      <c r="D16">
        <v>633505.56666666665</v>
      </c>
      <c r="E16">
        <v>633747.5</v>
      </c>
      <c r="F16">
        <v>120.9666666666744</v>
      </c>
    </row>
    <row r="17" spans="1:6" x14ac:dyDescent="0.25">
      <c r="A17" t="s">
        <v>8</v>
      </c>
      <c r="B17">
        <v>2</v>
      </c>
      <c r="C17">
        <v>5619647.8833333328</v>
      </c>
      <c r="D17">
        <v>5609818.5666666664</v>
      </c>
      <c r="E17">
        <v>5629477.2000000002</v>
      </c>
      <c r="F17">
        <v>9829.316666666884</v>
      </c>
    </row>
    <row r="20" spans="1:6" ht="15" customHeight="1" x14ac:dyDescent="0.25">
      <c r="A20" s="4" t="s">
        <v>17</v>
      </c>
    </row>
    <row r="21" spans="1:6" x14ac:dyDescent="0.25">
      <c r="A21" t="s">
        <v>1</v>
      </c>
      <c r="C21">
        <v>4572766.3916666666</v>
      </c>
      <c r="D21">
        <v>664992.43333333335</v>
      </c>
      <c r="E21">
        <v>8685893.4333333336</v>
      </c>
      <c r="F21">
        <v>3870777.8609254379</v>
      </c>
    </row>
    <row r="22" spans="1:6" x14ac:dyDescent="0.25">
      <c r="A22" t="s">
        <v>2</v>
      </c>
      <c r="C22">
        <v>3203127.5</v>
      </c>
      <c r="D22">
        <v>589091.80000000005</v>
      </c>
      <c r="E22">
        <v>5830712.5333333332</v>
      </c>
      <c r="F22">
        <v>2608293.8344076788</v>
      </c>
    </row>
    <row r="23" spans="1:6" ht="15" customHeight="1" x14ac:dyDescent="0.25">
      <c r="A23" s="1" t="s">
        <v>3</v>
      </c>
      <c r="C23">
        <v>3100091.3666666672</v>
      </c>
      <c r="D23">
        <v>580964.5</v>
      </c>
      <c r="E23">
        <v>5619218.2333333334</v>
      </c>
      <c r="F23">
        <v>2519126.8666666672</v>
      </c>
    </row>
    <row r="24" spans="1:6" x14ac:dyDescent="0.25">
      <c r="A24" t="s">
        <v>4</v>
      </c>
      <c r="C24">
        <v>3133202.7333333329</v>
      </c>
      <c r="D24">
        <v>634935.93333333335</v>
      </c>
      <c r="E24">
        <v>5671654.2666666666</v>
      </c>
      <c r="F24">
        <v>2486227.7009843811</v>
      </c>
    </row>
    <row r="25" spans="1:6" x14ac:dyDescent="0.25">
      <c r="A25" t="s">
        <v>5</v>
      </c>
      <c r="C25">
        <v>3111771.9083333332</v>
      </c>
      <c r="D25">
        <v>520936.83333333331</v>
      </c>
      <c r="E25">
        <v>5778987.7666666666</v>
      </c>
      <c r="F25">
        <v>2531295.20221572</v>
      </c>
    </row>
    <row r="26" spans="1:6" x14ac:dyDescent="0.25">
      <c r="A26" t="s">
        <v>6</v>
      </c>
      <c r="C26">
        <v>3201861.6</v>
      </c>
      <c r="D26">
        <v>646227.8666666667</v>
      </c>
      <c r="E26">
        <v>5820489.8666666662</v>
      </c>
      <c r="F26">
        <v>2555222.7082246221</v>
      </c>
    </row>
    <row r="27" spans="1:6" x14ac:dyDescent="0.25">
      <c r="A27" t="s">
        <v>7</v>
      </c>
      <c r="C27">
        <v>3119338.9750000001</v>
      </c>
      <c r="D27">
        <v>576852.6333333333</v>
      </c>
      <c r="E27">
        <v>5677387.9666666668</v>
      </c>
      <c r="F27">
        <v>2516327.1215937552</v>
      </c>
    </row>
    <row r="28" spans="1:6" ht="15" customHeight="1" x14ac:dyDescent="0.25">
      <c r="A28" s="1" t="s">
        <v>8</v>
      </c>
      <c r="C28">
        <v>3126637.208333333</v>
      </c>
      <c r="D28">
        <v>633505.56666666665</v>
      </c>
      <c r="E28">
        <v>5629477.2000000002</v>
      </c>
      <c r="F28">
        <v>2493020.3650819799</v>
      </c>
    </row>
    <row r="31" spans="1:6" ht="15" customHeight="1" x14ac:dyDescent="0.25">
      <c r="A31" s="4" t="s">
        <v>18</v>
      </c>
    </row>
    <row r="32" spans="1:6" x14ac:dyDescent="0.25">
      <c r="A32" t="s">
        <v>19</v>
      </c>
      <c r="B32">
        <v>1</v>
      </c>
      <c r="C32">
        <v>2</v>
      </c>
    </row>
    <row r="33" spans="1:5" x14ac:dyDescent="0.25">
      <c r="A33" t="s">
        <v>1</v>
      </c>
      <c r="B33">
        <v>706019.96666666667</v>
      </c>
      <c r="C33">
        <v>8439512.8166666664</v>
      </c>
    </row>
    <row r="34" spans="1:5" x14ac:dyDescent="0.25">
      <c r="A34" t="s">
        <v>2</v>
      </c>
      <c r="B34">
        <v>594872.68333333335</v>
      </c>
      <c r="C34">
        <v>5811382.3166666664</v>
      </c>
    </row>
    <row r="35" spans="1:5" ht="15" customHeight="1" x14ac:dyDescent="0.25">
      <c r="A35" s="1" t="s">
        <v>3</v>
      </c>
      <c r="B35">
        <v>580964.5</v>
      </c>
      <c r="C35">
        <v>5619218.2333333334</v>
      </c>
    </row>
    <row r="36" spans="1:5" ht="15" customHeight="1" x14ac:dyDescent="0.25">
      <c r="A36" s="1" t="s">
        <v>4</v>
      </c>
      <c r="B36">
        <v>647267.66666666674</v>
      </c>
      <c r="C36">
        <v>5619137.7999999998</v>
      </c>
    </row>
    <row r="37" spans="1:5" x14ac:dyDescent="0.25">
      <c r="A37" t="s">
        <v>5</v>
      </c>
      <c r="B37">
        <v>582740.8666666667</v>
      </c>
      <c r="C37">
        <v>5640802.9500000002</v>
      </c>
    </row>
    <row r="38" spans="1:5" x14ac:dyDescent="0.25">
      <c r="A38" t="s">
        <v>6</v>
      </c>
      <c r="B38">
        <v>647037.28333333333</v>
      </c>
      <c r="C38">
        <v>5756685.916666666</v>
      </c>
    </row>
    <row r="39" spans="1:5" ht="15" customHeight="1" x14ac:dyDescent="0.25">
      <c r="A39" s="1" t="s">
        <v>7</v>
      </c>
      <c r="B39">
        <v>603256.1</v>
      </c>
      <c r="C39">
        <v>5635421.8499999996</v>
      </c>
    </row>
    <row r="40" spans="1:5" x14ac:dyDescent="0.25">
      <c r="A40" t="s">
        <v>8</v>
      </c>
      <c r="B40">
        <v>633626.53333333333</v>
      </c>
      <c r="C40">
        <v>5619647.8833333328</v>
      </c>
    </row>
    <row r="43" spans="1:5" ht="15" customHeight="1" x14ac:dyDescent="0.25">
      <c r="A43" s="4" t="s">
        <v>20</v>
      </c>
    </row>
    <row r="44" spans="1:5" x14ac:dyDescent="0.25">
      <c r="A44" t="s">
        <v>19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1</v>
      </c>
      <c r="B45">
        <v>747047.5</v>
      </c>
      <c r="C45">
        <v>664992.43333333335</v>
      </c>
      <c r="D45">
        <v>8193132.2000000002</v>
      </c>
      <c r="E45">
        <v>8685893.4333333336</v>
      </c>
    </row>
    <row r="46" spans="1:5" x14ac:dyDescent="0.25">
      <c r="A46" t="s">
        <v>2</v>
      </c>
      <c r="B46">
        <v>600653.56666666665</v>
      </c>
      <c r="C46">
        <v>589091.80000000005</v>
      </c>
      <c r="D46">
        <v>5792052.0999999996</v>
      </c>
      <c r="E46">
        <v>5830712.5333333332</v>
      </c>
    </row>
    <row r="47" spans="1:5" ht="15" customHeight="1" x14ac:dyDescent="0.25">
      <c r="A47" s="1" t="s">
        <v>3</v>
      </c>
      <c r="B47">
        <v>580964.5</v>
      </c>
      <c r="C47">
        <v>580964.5</v>
      </c>
      <c r="D47">
        <v>5619218.2333333334</v>
      </c>
      <c r="E47">
        <v>5619218.2333333334</v>
      </c>
    </row>
    <row r="48" spans="1:5" x14ac:dyDescent="0.25">
      <c r="A48" t="s">
        <v>4</v>
      </c>
      <c r="B48">
        <v>634935.93333333335</v>
      </c>
      <c r="C48">
        <v>659599.4</v>
      </c>
      <c r="D48">
        <v>5566621.333333333</v>
      </c>
      <c r="E48">
        <v>5671654.2666666666</v>
      </c>
    </row>
    <row r="49" spans="1:5" x14ac:dyDescent="0.25">
      <c r="A49" t="s">
        <v>5</v>
      </c>
      <c r="B49">
        <v>520936.83333333331</v>
      </c>
      <c r="C49">
        <v>644544.9</v>
      </c>
      <c r="D49">
        <v>5502618.1333333338</v>
      </c>
      <c r="E49">
        <v>5778987.7666666666</v>
      </c>
    </row>
    <row r="50" spans="1:5" x14ac:dyDescent="0.25">
      <c r="A50" t="s">
        <v>6</v>
      </c>
      <c r="B50">
        <v>647846.69999999995</v>
      </c>
      <c r="C50">
        <v>646227.8666666667</v>
      </c>
      <c r="D50">
        <v>5820489.8666666662</v>
      </c>
      <c r="E50">
        <v>5692881.9666666668</v>
      </c>
    </row>
    <row r="51" spans="1:5" ht="15" customHeight="1" x14ac:dyDescent="0.25">
      <c r="A51" s="1" t="s">
        <v>7</v>
      </c>
      <c r="B51">
        <v>629659.56666666665</v>
      </c>
      <c r="C51">
        <v>576852.6333333333</v>
      </c>
      <c r="D51">
        <v>5593455.7333333334</v>
      </c>
      <c r="E51">
        <v>5677387.9666666668</v>
      </c>
    </row>
    <row r="52" spans="1:5" x14ac:dyDescent="0.25">
      <c r="A52" t="s">
        <v>8</v>
      </c>
      <c r="B52">
        <v>633505.56666666665</v>
      </c>
      <c r="C52">
        <v>633747.5</v>
      </c>
      <c r="D52">
        <v>5609818.5666666664</v>
      </c>
      <c r="E52">
        <v>5629477.2000000002</v>
      </c>
    </row>
    <row r="59" spans="1:5" ht="15" customHeight="1" x14ac:dyDescent="0.25">
      <c r="A59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9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1" customWidth="1"/>
    <col min="3" max="5" width="12" customWidth="1"/>
    <col min="6" max="6" width="20" customWidth="1"/>
    <col min="7" max="20" width="10" customWidth="1"/>
    <col min="21" max="21" width="9" customWidth="1"/>
    <col min="22" max="46" width="10" customWidth="1"/>
    <col min="47" max="47" width="11" customWidth="1"/>
    <col min="48" max="61" width="10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1897203</v>
      </c>
      <c r="D2">
        <v>6858</v>
      </c>
      <c r="E2">
        <v>3787548</v>
      </c>
      <c r="F2">
        <v>1890345</v>
      </c>
    </row>
    <row r="3" spans="1:6" x14ac:dyDescent="0.25">
      <c r="A3" t="s">
        <v>1</v>
      </c>
      <c r="B3">
        <v>2</v>
      </c>
      <c r="C3">
        <v>8854582</v>
      </c>
      <c r="D3">
        <v>2644117</v>
      </c>
      <c r="E3">
        <v>15065047</v>
      </c>
      <c r="F3">
        <v>6210465</v>
      </c>
    </row>
    <row r="4" spans="1:6" x14ac:dyDescent="0.25">
      <c r="A4" t="s">
        <v>2</v>
      </c>
      <c r="B4">
        <v>1</v>
      </c>
      <c r="C4">
        <v>1819353</v>
      </c>
      <c r="D4">
        <v>1421980</v>
      </c>
      <c r="E4">
        <v>2216726</v>
      </c>
      <c r="F4">
        <v>397373</v>
      </c>
    </row>
    <row r="5" spans="1:6" x14ac:dyDescent="0.25">
      <c r="A5" t="s">
        <v>2</v>
      </c>
      <c r="B5">
        <v>2</v>
      </c>
      <c r="C5">
        <v>3861818.5</v>
      </c>
      <c r="D5">
        <v>3269506</v>
      </c>
      <c r="E5">
        <v>4454131</v>
      </c>
      <c r="F5">
        <v>592312.5</v>
      </c>
    </row>
    <row r="6" spans="1:6" x14ac:dyDescent="0.25">
      <c r="A6" t="s">
        <v>3</v>
      </c>
      <c r="B6">
        <v>1</v>
      </c>
      <c r="C6">
        <v>3677</v>
      </c>
      <c r="D6">
        <v>3677</v>
      </c>
      <c r="E6">
        <v>3677</v>
      </c>
      <c r="F6">
        <v>0</v>
      </c>
    </row>
    <row r="7" spans="1:6" x14ac:dyDescent="0.25">
      <c r="A7" t="s">
        <v>3</v>
      </c>
      <c r="B7">
        <v>2</v>
      </c>
      <c r="C7">
        <v>3962093</v>
      </c>
      <c r="D7">
        <v>3962093</v>
      </c>
      <c r="E7">
        <v>3962093</v>
      </c>
      <c r="F7">
        <v>0</v>
      </c>
    </row>
    <row r="8" spans="1:6" x14ac:dyDescent="0.25">
      <c r="A8" t="s">
        <v>4</v>
      </c>
      <c r="B8">
        <v>1</v>
      </c>
      <c r="C8">
        <v>1395.5</v>
      </c>
      <c r="D8">
        <v>0</v>
      </c>
      <c r="E8">
        <v>2791</v>
      </c>
      <c r="F8">
        <v>1395.5</v>
      </c>
    </row>
    <row r="9" spans="1:6" x14ac:dyDescent="0.25">
      <c r="A9" t="s">
        <v>4</v>
      </c>
      <c r="B9">
        <v>2</v>
      </c>
      <c r="C9">
        <v>5463929</v>
      </c>
      <c r="D9">
        <v>4552742</v>
      </c>
      <c r="E9">
        <v>6375116</v>
      </c>
      <c r="F9">
        <v>911187</v>
      </c>
    </row>
    <row r="10" spans="1:6" x14ac:dyDescent="0.25">
      <c r="A10" t="s">
        <v>5</v>
      </c>
      <c r="B10">
        <v>1</v>
      </c>
      <c r="C10">
        <v>1120803.5</v>
      </c>
      <c r="D10">
        <v>6456</v>
      </c>
      <c r="E10">
        <v>2235151</v>
      </c>
      <c r="F10">
        <v>1114347.5</v>
      </c>
    </row>
    <row r="11" spans="1:6" x14ac:dyDescent="0.25">
      <c r="A11" t="s">
        <v>5</v>
      </c>
      <c r="B11">
        <v>2</v>
      </c>
      <c r="C11">
        <v>4847580.5</v>
      </c>
      <c r="D11">
        <v>1445202</v>
      </c>
      <c r="E11">
        <v>8249959</v>
      </c>
      <c r="F11">
        <v>3402378.5</v>
      </c>
    </row>
    <row r="12" spans="1:6" ht="15" customHeight="1" x14ac:dyDescent="0.25">
      <c r="A12" s="1" t="s">
        <v>6</v>
      </c>
      <c r="B12">
        <v>1</v>
      </c>
      <c r="C12">
        <v>4010</v>
      </c>
      <c r="D12">
        <v>3139</v>
      </c>
      <c r="E12">
        <v>4881</v>
      </c>
      <c r="F12">
        <v>871</v>
      </c>
    </row>
    <row r="13" spans="1:6" x14ac:dyDescent="0.25">
      <c r="A13" t="s">
        <v>6</v>
      </c>
      <c r="B13">
        <v>2</v>
      </c>
      <c r="C13">
        <v>2769484</v>
      </c>
      <c r="D13">
        <v>1241378</v>
      </c>
      <c r="E13">
        <v>4297590</v>
      </c>
      <c r="F13">
        <v>1528106</v>
      </c>
    </row>
    <row r="14" spans="1:6" x14ac:dyDescent="0.25">
      <c r="A14" t="s">
        <v>7</v>
      </c>
      <c r="B14">
        <v>1</v>
      </c>
      <c r="C14">
        <v>980567</v>
      </c>
      <c r="D14">
        <v>0</v>
      </c>
      <c r="E14">
        <v>1961134</v>
      </c>
      <c r="F14">
        <v>980567</v>
      </c>
    </row>
    <row r="15" spans="1:6" x14ac:dyDescent="0.25">
      <c r="A15" t="s">
        <v>7</v>
      </c>
      <c r="B15">
        <v>2</v>
      </c>
      <c r="C15">
        <v>5431313</v>
      </c>
      <c r="D15">
        <v>4123795</v>
      </c>
      <c r="E15">
        <v>6738831</v>
      </c>
      <c r="F15">
        <v>1307518</v>
      </c>
    </row>
    <row r="16" spans="1:6" x14ac:dyDescent="0.25">
      <c r="A16" t="s">
        <v>8</v>
      </c>
      <c r="B16">
        <v>1</v>
      </c>
      <c r="C16">
        <v>27293.5</v>
      </c>
      <c r="D16">
        <v>13197</v>
      </c>
      <c r="E16">
        <v>41390</v>
      </c>
      <c r="F16">
        <v>14096.5</v>
      </c>
    </row>
    <row r="17" spans="1:6" x14ac:dyDescent="0.25">
      <c r="A17" t="s">
        <v>8</v>
      </c>
      <c r="B17">
        <v>2</v>
      </c>
      <c r="C17">
        <v>5201031.5</v>
      </c>
      <c r="D17">
        <v>4347840</v>
      </c>
      <c r="E17">
        <v>6054223</v>
      </c>
      <c r="F17">
        <v>853191.5</v>
      </c>
    </row>
    <row r="20" spans="1:6" ht="15" customHeight="1" x14ac:dyDescent="0.25">
      <c r="A20" s="4" t="s">
        <v>17</v>
      </c>
    </row>
    <row r="21" spans="1:6" x14ac:dyDescent="0.25">
      <c r="A21" t="s">
        <v>1</v>
      </c>
      <c r="C21">
        <v>5375892.5</v>
      </c>
      <c r="D21">
        <v>6858</v>
      </c>
      <c r="E21">
        <v>15065047</v>
      </c>
      <c r="F21">
        <v>5759593.7795156399</v>
      </c>
    </row>
    <row r="22" spans="1:6" x14ac:dyDescent="0.25">
      <c r="A22" t="s">
        <v>2</v>
      </c>
      <c r="C22">
        <v>2840585.75</v>
      </c>
      <c r="D22">
        <v>1421980</v>
      </c>
      <c r="E22">
        <v>4454131</v>
      </c>
      <c r="F22">
        <v>1138984.6483009281</v>
      </c>
    </row>
    <row r="23" spans="1:6" ht="15" customHeight="1" x14ac:dyDescent="0.25">
      <c r="A23" s="1" t="s">
        <v>3</v>
      </c>
      <c r="C23">
        <v>1982885</v>
      </c>
      <c r="D23">
        <v>3677</v>
      </c>
      <c r="E23">
        <v>3962093</v>
      </c>
      <c r="F23">
        <v>1979208</v>
      </c>
    </row>
    <row r="24" spans="1:6" x14ac:dyDescent="0.25">
      <c r="A24" t="s">
        <v>4</v>
      </c>
      <c r="C24">
        <v>2732662.25</v>
      </c>
      <c r="D24">
        <v>0</v>
      </c>
      <c r="E24">
        <v>6375116</v>
      </c>
      <c r="F24">
        <v>2806234.1149394838</v>
      </c>
    </row>
    <row r="25" spans="1:6" x14ac:dyDescent="0.25">
      <c r="A25" t="s">
        <v>5</v>
      </c>
      <c r="C25">
        <v>2984192</v>
      </c>
      <c r="D25">
        <v>6456</v>
      </c>
      <c r="E25">
        <v>8249959</v>
      </c>
      <c r="F25">
        <v>3143436.2735613869</v>
      </c>
    </row>
    <row r="26" spans="1:6" x14ac:dyDescent="0.25">
      <c r="A26" t="s">
        <v>6</v>
      </c>
      <c r="C26">
        <v>1386747</v>
      </c>
      <c r="D26">
        <v>3139</v>
      </c>
      <c r="E26">
        <v>4297590</v>
      </c>
      <c r="F26">
        <v>1754854.969536657</v>
      </c>
    </row>
    <row r="27" spans="1:6" x14ac:dyDescent="0.25">
      <c r="A27" t="s">
        <v>7</v>
      </c>
      <c r="C27">
        <v>3205940</v>
      </c>
      <c r="D27">
        <v>0</v>
      </c>
      <c r="E27">
        <v>6738831</v>
      </c>
      <c r="F27">
        <v>2507557.0721392371</v>
      </c>
    </row>
    <row r="28" spans="1:6" ht="15" customHeight="1" x14ac:dyDescent="0.25">
      <c r="A28" s="1" t="s">
        <v>8</v>
      </c>
      <c r="C28">
        <v>2614162.5</v>
      </c>
      <c r="D28">
        <v>13197</v>
      </c>
      <c r="E28">
        <v>6054223</v>
      </c>
      <c r="F28">
        <v>2656305.4129096768</v>
      </c>
    </row>
    <row r="31" spans="1:6" ht="15" customHeight="1" x14ac:dyDescent="0.25">
      <c r="A31" s="4" t="s">
        <v>18</v>
      </c>
    </row>
    <row r="32" spans="1:6" x14ac:dyDescent="0.25">
      <c r="A32" t="s">
        <v>19</v>
      </c>
      <c r="B32">
        <v>1</v>
      </c>
      <c r="C32">
        <v>2</v>
      </c>
    </row>
    <row r="33" spans="1:5" x14ac:dyDescent="0.25">
      <c r="A33" t="s">
        <v>1</v>
      </c>
      <c r="B33">
        <v>1897203</v>
      </c>
      <c r="C33">
        <v>8854582</v>
      </c>
    </row>
    <row r="34" spans="1:5" x14ac:dyDescent="0.25">
      <c r="A34" t="s">
        <v>2</v>
      </c>
      <c r="B34">
        <v>1819353</v>
      </c>
      <c r="C34">
        <v>3861818.5</v>
      </c>
    </row>
    <row r="35" spans="1:5" ht="15" customHeight="1" x14ac:dyDescent="0.25">
      <c r="A35" s="1" t="s">
        <v>3</v>
      </c>
      <c r="B35">
        <v>3677</v>
      </c>
      <c r="C35">
        <v>3962093</v>
      </c>
    </row>
    <row r="36" spans="1:5" ht="15" customHeight="1" x14ac:dyDescent="0.25">
      <c r="A36" s="1" t="s">
        <v>4</v>
      </c>
      <c r="B36">
        <v>1395.5</v>
      </c>
      <c r="C36">
        <v>5463929</v>
      </c>
    </row>
    <row r="37" spans="1:5" x14ac:dyDescent="0.25">
      <c r="A37" t="s">
        <v>5</v>
      </c>
      <c r="B37">
        <v>1120803.5</v>
      </c>
      <c r="C37">
        <v>4847580.5</v>
      </c>
    </row>
    <row r="38" spans="1:5" x14ac:dyDescent="0.25">
      <c r="A38" t="s">
        <v>6</v>
      </c>
      <c r="B38">
        <v>4010</v>
      </c>
      <c r="C38">
        <v>2769484</v>
      </c>
    </row>
    <row r="39" spans="1:5" ht="15" customHeight="1" x14ac:dyDescent="0.25">
      <c r="A39" s="1" t="s">
        <v>7</v>
      </c>
      <c r="B39">
        <v>980567</v>
      </c>
      <c r="C39">
        <v>5431313</v>
      </c>
    </row>
    <row r="40" spans="1:5" x14ac:dyDescent="0.25">
      <c r="A40" t="s">
        <v>8</v>
      </c>
      <c r="B40">
        <v>27293.5</v>
      </c>
      <c r="C40">
        <v>5201031.5</v>
      </c>
    </row>
    <row r="43" spans="1:5" ht="15" customHeight="1" x14ac:dyDescent="0.25">
      <c r="A43" s="4" t="s">
        <v>20</v>
      </c>
    </row>
    <row r="44" spans="1:5" x14ac:dyDescent="0.25">
      <c r="A44" t="s">
        <v>19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1</v>
      </c>
      <c r="B45">
        <v>6858</v>
      </c>
      <c r="C45">
        <v>3787548</v>
      </c>
      <c r="D45">
        <v>15065047</v>
      </c>
      <c r="E45">
        <v>2644117</v>
      </c>
    </row>
    <row r="46" spans="1:5" x14ac:dyDescent="0.25">
      <c r="A46" t="s">
        <v>2</v>
      </c>
      <c r="B46">
        <v>1421980</v>
      </c>
      <c r="C46">
        <v>2216726</v>
      </c>
      <c r="D46">
        <v>4454131</v>
      </c>
      <c r="E46">
        <v>3269506</v>
      </c>
    </row>
    <row r="47" spans="1:5" ht="15" customHeight="1" x14ac:dyDescent="0.25">
      <c r="A47" s="1" t="s">
        <v>3</v>
      </c>
      <c r="B47">
        <v>3677</v>
      </c>
      <c r="C47">
        <v>3677</v>
      </c>
      <c r="D47">
        <v>3962093</v>
      </c>
      <c r="E47">
        <v>3962093</v>
      </c>
    </row>
    <row r="48" spans="1:5" x14ac:dyDescent="0.25">
      <c r="A48" t="s">
        <v>4</v>
      </c>
      <c r="B48">
        <v>0</v>
      </c>
      <c r="C48">
        <v>2791</v>
      </c>
      <c r="D48">
        <v>6375116</v>
      </c>
      <c r="E48">
        <v>4552742</v>
      </c>
    </row>
    <row r="49" spans="1:5" x14ac:dyDescent="0.25">
      <c r="A49" t="s">
        <v>5</v>
      </c>
      <c r="B49">
        <v>2235151</v>
      </c>
      <c r="C49">
        <v>6456</v>
      </c>
      <c r="D49">
        <v>8249959</v>
      </c>
      <c r="E49">
        <v>1445202</v>
      </c>
    </row>
    <row r="50" spans="1:5" x14ac:dyDescent="0.25">
      <c r="A50" t="s">
        <v>6</v>
      </c>
      <c r="B50">
        <v>3139</v>
      </c>
      <c r="C50">
        <v>4881</v>
      </c>
      <c r="D50">
        <v>1241378</v>
      </c>
      <c r="E50">
        <v>4297590</v>
      </c>
    </row>
    <row r="51" spans="1:5" ht="15" customHeight="1" x14ac:dyDescent="0.25">
      <c r="A51" s="1" t="s">
        <v>7</v>
      </c>
      <c r="B51">
        <v>0</v>
      </c>
      <c r="C51">
        <v>1961134</v>
      </c>
      <c r="D51">
        <v>6738831</v>
      </c>
      <c r="E51">
        <v>4123795</v>
      </c>
    </row>
    <row r="52" spans="1:5" x14ac:dyDescent="0.25">
      <c r="A52" t="s">
        <v>8</v>
      </c>
      <c r="B52">
        <v>13197</v>
      </c>
      <c r="C52">
        <v>41390</v>
      </c>
      <c r="D52">
        <v>4347840</v>
      </c>
      <c r="E52">
        <v>6054223</v>
      </c>
    </row>
    <row r="59" spans="1:5" ht="15" customHeight="1" x14ac:dyDescent="0.25">
      <c r="A59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K12"/>
  <sheetViews>
    <sheetView zoomScaleNormal="100" workbookViewId="0">
      <selection sqref="A1:XFD1048576"/>
    </sheetView>
  </sheetViews>
  <sheetFormatPr defaultColWidth="8.5703125" defaultRowHeight="15" x14ac:dyDescent="0.25"/>
  <sheetData>
    <row r="1" spans="1:63" ht="15" customHeight="1" x14ac:dyDescent="0.25">
      <c r="A1" s="4" t="s">
        <v>18</v>
      </c>
    </row>
    <row r="2" spans="1:63" x14ac:dyDescent="0.25"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24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  <c r="AR2" t="s">
        <v>23</v>
      </c>
      <c r="AS2" t="s">
        <v>23</v>
      </c>
      <c r="AT2" t="s">
        <v>23</v>
      </c>
      <c r="AU2" t="s">
        <v>23</v>
      </c>
      <c r="AV2" t="s">
        <v>23</v>
      </c>
      <c r="AW2" t="s">
        <v>23</v>
      </c>
      <c r="AX2" t="s">
        <v>23</v>
      </c>
      <c r="AY2" t="s">
        <v>23</v>
      </c>
      <c r="AZ2" t="s">
        <v>23</v>
      </c>
      <c r="BA2" t="s">
        <v>23</v>
      </c>
      <c r="BB2" t="s">
        <v>23</v>
      </c>
      <c r="BC2" t="s">
        <v>23</v>
      </c>
      <c r="BD2" t="s">
        <v>23</v>
      </c>
      <c r="BE2" t="s">
        <v>23</v>
      </c>
      <c r="BF2" t="s">
        <v>23</v>
      </c>
      <c r="BG2" t="s">
        <v>23</v>
      </c>
      <c r="BH2" t="s">
        <v>23</v>
      </c>
      <c r="BI2" t="s">
        <v>23</v>
      </c>
      <c r="BJ2" t="s">
        <v>23</v>
      </c>
      <c r="BK2" t="s">
        <v>24</v>
      </c>
    </row>
    <row r="3" spans="1:63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</row>
    <row r="4" spans="1:63" x14ac:dyDescent="0.25">
      <c r="A4" t="s">
        <v>19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1</v>
      </c>
      <c r="AH4">
        <v>2</v>
      </c>
      <c r="AI4">
        <v>3</v>
      </c>
      <c r="AJ4">
        <v>4</v>
      </c>
      <c r="AK4">
        <v>5</v>
      </c>
      <c r="AL4">
        <v>6</v>
      </c>
      <c r="AM4">
        <v>7</v>
      </c>
      <c r="AN4">
        <v>8</v>
      </c>
      <c r="AO4">
        <v>9</v>
      </c>
      <c r="AP4">
        <v>10</v>
      </c>
      <c r="AQ4">
        <v>11</v>
      </c>
      <c r="AR4">
        <v>12</v>
      </c>
      <c r="AS4">
        <v>13</v>
      </c>
      <c r="AT4">
        <v>14</v>
      </c>
      <c r="AU4">
        <v>15</v>
      </c>
      <c r="AV4">
        <v>16</v>
      </c>
      <c r="AW4">
        <v>17</v>
      </c>
      <c r="AX4">
        <v>18</v>
      </c>
      <c r="AY4">
        <v>19</v>
      </c>
      <c r="AZ4">
        <v>20</v>
      </c>
      <c r="BA4">
        <v>21</v>
      </c>
      <c r="BB4">
        <v>22</v>
      </c>
      <c r="BC4">
        <v>23</v>
      </c>
      <c r="BD4">
        <v>24</v>
      </c>
      <c r="BE4">
        <v>25</v>
      </c>
      <c r="BF4">
        <v>26</v>
      </c>
      <c r="BG4">
        <v>27</v>
      </c>
      <c r="BH4">
        <v>28</v>
      </c>
      <c r="BI4">
        <v>29</v>
      </c>
      <c r="BJ4">
        <v>30</v>
      </c>
      <c r="BK4">
        <v>31</v>
      </c>
    </row>
    <row r="5" spans="1:63" x14ac:dyDescent="0.25">
      <c r="A5" t="s">
        <v>1</v>
      </c>
      <c r="B5">
        <v>134143.19354838709</v>
      </c>
      <c r="C5">
        <v>43518.580645161288</v>
      </c>
      <c r="D5">
        <v>297.74193548387098</v>
      </c>
      <c r="E5">
        <v>3588.1935483870971</v>
      </c>
      <c r="F5">
        <v>91713.387096774197</v>
      </c>
      <c r="G5">
        <v>1793</v>
      </c>
      <c r="H5">
        <v>428.54838709677421</v>
      </c>
      <c r="I5">
        <v>414.06451612903231</v>
      </c>
      <c r="J5">
        <v>4655.7419354838712</v>
      </c>
      <c r="K5">
        <v>68997.741935483864</v>
      </c>
      <c r="L5">
        <v>3182.645161290322</v>
      </c>
      <c r="M5">
        <v>2356.5483870967741</v>
      </c>
      <c r="N5">
        <v>275.64516129032262</v>
      </c>
      <c r="O5">
        <v>504.19354838709683</v>
      </c>
      <c r="P5">
        <v>588.54838709677415</v>
      </c>
      <c r="Q5">
        <v>841.64516129032256</v>
      </c>
      <c r="R5">
        <v>54321.903225806447</v>
      </c>
      <c r="S5">
        <v>74744.741935483864</v>
      </c>
      <c r="T5">
        <v>145865.5161290323</v>
      </c>
      <c r="U5">
        <v>218351.80645161291</v>
      </c>
      <c r="V5">
        <v>54323.225806451614</v>
      </c>
      <c r="W5">
        <v>80744.612903225803</v>
      </c>
      <c r="X5">
        <v>106337.83870967739</v>
      </c>
      <c r="Y5">
        <v>547.54838709677415</v>
      </c>
      <c r="Z5">
        <v>150.9677419354839</v>
      </c>
      <c r="AA5">
        <v>80124.225806451606</v>
      </c>
      <c r="AB5">
        <v>964.64516129032256</v>
      </c>
      <c r="AC5">
        <v>188442.12903225809</v>
      </c>
      <c r="AD5">
        <v>4184.8387096774204</v>
      </c>
      <c r="AE5">
        <v>86.838709677419359</v>
      </c>
      <c r="AF5">
        <v>122400.19354838711</v>
      </c>
      <c r="AG5">
        <v>234845.16129032261</v>
      </c>
      <c r="AH5">
        <v>421232.03225806449</v>
      </c>
      <c r="AI5">
        <v>187280.67741935479</v>
      </c>
      <c r="AJ5">
        <v>378340.58064516127</v>
      </c>
      <c r="AK5">
        <v>296113.32258064521</v>
      </c>
      <c r="AL5">
        <v>426553.93548387103</v>
      </c>
      <c r="AM5">
        <v>330318.41935483873</v>
      </c>
      <c r="AN5">
        <v>339396.58064516127</v>
      </c>
      <c r="AO5">
        <v>368991.32258064521</v>
      </c>
      <c r="AP5">
        <v>296303.96774193551</v>
      </c>
      <c r="AQ5">
        <v>510234.29032258072</v>
      </c>
      <c r="AR5">
        <v>387801.6451612903</v>
      </c>
      <c r="AS5">
        <v>277988.67741935479</v>
      </c>
      <c r="AT5">
        <v>375349.48387096782</v>
      </c>
      <c r="AU5">
        <v>461841.22580645158</v>
      </c>
      <c r="AV5">
        <v>859436.93548387091</v>
      </c>
      <c r="AW5">
        <v>699216.25806451612</v>
      </c>
      <c r="AX5">
        <v>662986.32258064521</v>
      </c>
      <c r="AY5">
        <v>1125044.1290322579</v>
      </c>
      <c r="AZ5">
        <v>1080228.1290322579</v>
      </c>
      <c r="BA5">
        <v>940377.93548387091</v>
      </c>
      <c r="BB5">
        <v>283706.38709677418</v>
      </c>
      <c r="BC5">
        <v>950465.77419354836</v>
      </c>
      <c r="BD5">
        <v>661383.06451612909</v>
      </c>
      <c r="BE5">
        <v>651328.41935483867</v>
      </c>
      <c r="BF5">
        <v>276235.74193548388</v>
      </c>
      <c r="BG5">
        <v>691083.67741935479</v>
      </c>
      <c r="BH5">
        <v>1066784.8064516131</v>
      </c>
      <c r="BI5">
        <v>653557.45161290327</v>
      </c>
      <c r="BJ5">
        <v>440114.58064516127</v>
      </c>
      <c r="BK5">
        <v>571263.3548387097</v>
      </c>
    </row>
    <row r="6" spans="1:63" x14ac:dyDescent="0.25">
      <c r="A6" t="s">
        <v>2</v>
      </c>
      <c r="B6">
        <v>5419.6129032258068</v>
      </c>
      <c r="C6">
        <v>262.16129032258073</v>
      </c>
      <c r="D6">
        <v>27237.22580645161</v>
      </c>
      <c r="E6">
        <v>1989.3870967741941</v>
      </c>
      <c r="F6">
        <v>90556.903225806454</v>
      </c>
      <c r="G6">
        <v>124.48387096774189</v>
      </c>
      <c r="H6">
        <v>0</v>
      </c>
      <c r="I6">
        <v>48125.290322580637</v>
      </c>
      <c r="J6">
        <v>18306.22580645161</v>
      </c>
      <c r="K6">
        <v>1369.7741935483871</v>
      </c>
      <c r="L6">
        <v>70551.419354838712</v>
      </c>
      <c r="M6">
        <v>2304.516129032258</v>
      </c>
      <c r="N6">
        <v>180.1935483870968</v>
      </c>
      <c r="O6">
        <v>99.41935483870968</v>
      </c>
      <c r="P6">
        <v>44.87096774193548</v>
      </c>
      <c r="Q6">
        <v>72602.516129032258</v>
      </c>
      <c r="R6">
        <v>72351.225806451606</v>
      </c>
      <c r="S6">
        <v>268.22580645161293</v>
      </c>
      <c r="T6">
        <v>56701.193548387098</v>
      </c>
      <c r="U6">
        <v>159596</v>
      </c>
      <c r="V6">
        <v>3077.5806451612898</v>
      </c>
      <c r="W6">
        <v>89524.225806451606</v>
      </c>
      <c r="X6">
        <v>54121.838709677417</v>
      </c>
      <c r="Y6">
        <v>194.9677419354839</v>
      </c>
      <c r="Z6">
        <v>129058.1290322581</v>
      </c>
      <c r="AA6">
        <v>424.35483870967738</v>
      </c>
      <c r="AB6">
        <v>52133.322580645159</v>
      </c>
      <c r="AC6">
        <v>277.61290322580652</v>
      </c>
      <c r="AD6">
        <v>585.54838709677415</v>
      </c>
      <c r="AE6">
        <v>193878.25806451609</v>
      </c>
      <c r="AF6">
        <v>117377.6129032258</v>
      </c>
      <c r="AG6">
        <v>359303.6451612903</v>
      </c>
      <c r="AH6">
        <v>616482.41935483867</v>
      </c>
      <c r="AI6">
        <v>260339.96774193551</v>
      </c>
      <c r="AJ6">
        <v>119094.4838709677</v>
      </c>
      <c r="AK6">
        <v>126619.9677419355</v>
      </c>
      <c r="AL6">
        <v>310436.03225806449</v>
      </c>
      <c r="AM6">
        <v>419797.09677419357</v>
      </c>
      <c r="AN6">
        <v>354746.54838709679</v>
      </c>
      <c r="AO6">
        <v>62742.516129032258</v>
      </c>
      <c r="AP6">
        <v>86692.096774193546</v>
      </c>
      <c r="AQ6">
        <v>76301.774193548394</v>
      </c>
      <c r="AR6">
        <v>188303.61290322579</v>
      </c>
      <c r="AS6">
        <v>343049.41935483873</v>
      </c>
      <c r="AT6">
        <v>277963.38709677418</v>
      </c>
      <c r="AU6">
        <v>292115.6451612903</v>
      </c>
      <c r="AV6">
        <v>559350.80645161285</v>
      </c>
      <c r="AW6">
        <v>310215.3548387097</v>
      </c>
      <c r="AX6">
        <v>654483.22580645164</v>
      </c>
      <c r="AY6">
        <v>430085.29032258072</v>
      </c>
      <c r="AZ6">
        <v>405491.3548387097</v>
      </c>
      <c r="BA6">
        <v>451243.45161290321</v>
      </c>
      <c r="BB6">
        <v>367613.61290322582</v>
      </c>
      <c r="BC6">
        <v>603761.54838709673</v>
      </c>
      <c r="BD6">
        <v>512978.77419354842</v>
      </c>
      <c r="BE6">
        <v>674752.48387096776</v>
      </c>
      <c r="BF6">
        <v>382610.6451612903</v>
      </c>
      <c r="BG6">
        <v>514307.41935483873</v>
      </c>
      <c r="BH6">
        <v>804408.06451612909</v>
      </c>
      <c r="BI6">
        <v>291791.51612903218</v>
      </c>
      <c r="BJ6">
        <v>390754.58064516127</v>
      </c>
      <c r="BK6">
        <v>249149.5806451613</v>
      </c>
    </row>
    <row r="7" spans="1:63" x14ac:dyDescent="0.25">
      <c r="A7" t="s">
        <v>3</v>
      </c>
      <c r="B7">
        <v>180954.96774193551</v>
      </c>
      <c r="C7">
        <v>140855.4193548387</v>
      </c>
      <c r="D7">
        <v>126388.19354838711</v>
      </c>
      <c r="E7">
        <v>119853.22580645161</v>
      </c>
      <c r="F7">
        <v>94026.774193548394</v>
      </c>
      <c r="G7">
        <v>91785.354838709682</v>
      </c>
      <c r="H7">
        <v>86228.322580645166</v>
      </c>
      <c r="I7">
        <v>85196.193548387091</v>
      </c>
      <c r="J7">
        <v>80972.451612903227</v>
      </c>
      <c r="K7">
        <v>33926.322580645159</v>
      </c>
      <c r="L7">
        <v>29495.29032258064</v>
      </c>
      <c r="M7">
        <v>23050.06451612903</v>
      </c>
      <c r="N7">
        <v>4174.7741935483873</v>
      </c>
      <c r="O7">
        <v>3708.4516129032259</v>
      </c>
      <c r="P7">
        <v>3395.16129032258</v>
      </c>
      <c r="Q7">
        <v>3206.4516129032259</v>
      </c>
      <c r="R7">
        <v>2824</v>
      </c>
      <c r="S7">
        <v>2748.1935483870971</v>
      </c>
      <c r="T7">
        <v>2744.322580645161</v>
      </c>
      <c r="U7">
        <v>2742.1935483870971</v>
      </c>
      <c r="V7">
        <v>2029.8064516129029</v>
      </c>
      <c r="W7">
        <v>644.83870967741939</v>
      </c>
      <c r="X7">
        <v>623.41935483870964</v>
      </c>
      <c r="Y7">
        <v>587.54838709677415</v>
      </c>
      <c r="Z7">
        <v>501.87096774193549</v>
      </c>
      <c r="AA7">
        <v>477.67741935483872</v>
      </c>
      <c r="AB7">
        <v>382.58064516129031</v>
      </c>
      <c r="AC7">
        <v>311.48387096774201</v>
      </c>
      <c r="AD7">
        <v>310.38709677419348</v>
      </c>
      <c r="AE7">
        <v>301.67741935483872</v>
      </c>
      <c r="AF7">
        <v>237.2258064516129</v>
      </c>
      <c r="AG7">
        <v>459800.77419354842</v>
      </c>
      <c r="AH7">
        <v>441939.3548387097</v>
      </c>
      <c r="AI7">
        <v>427137.74193548388</v>
      </c>
      <c r="AJ7">
        <v>413896.58064516127</v>
      </c>
      <c r="AK7">
        <v>400874.51612903218</v>
      </c>
      <c r="AL7">
        <v>393341.74193548388</v>
      </c>
      <c r="AM7">
        <v>385987.09677419357</v>
      </c>
      <c r="AN7">
        <v>379981.22580645158</v>
      </c>
      <c r="AO7">
        <v>364954.45161290321</v>
      </c>
      <c r="AP7">
        <v>352032.19354838709</v>
      </c>
      <c r="AQ7">
        <v>350152.12903225812</v>
      </c>
      <c r="AR7">
        <v>345542.12903225812</v>
      </c>
      <c r="AS7">
        <v>340503.93548387103</v>
      </c>
      <c r="AT7">
        <v>333476.90322580643</v>
      </c>
      <c r="AU7">
        <v>325204.06451612897</v>
      </c>
      <c r="AV7">
        <v>381204.06451612897</v>
      </c>
      <c r="AW7">
        <v>375470.83870967739</v>
      </c>
      <c r="AX7">
        <v>372753.87096774188</v>
      </c>
      <c r="AY7">
        <v>366063.61290322582</v>
      </c>
      <c r="AZ7">
        <v>361090.83870967739</v>
      </c>
      <c r="BA7">
        <v>353384.70967741928</v>
      </c>
      <c r="BB7">
        <v>350406</v>
      </c>
      <c r="BC7">
        <v>342025.67741935479</v>
      </c>
      <c r="BD7">
        <v>338939.41935483873</v>
      </c>
      <c r="BE7">
        <v>329307.16129032261</v>
      </c>
      <c r="BF7">
        <v>326429.54838709679</v>
      </c>
      <c r="BG7">
        <v>323838.90322580643</v>
      </c>
      <c r="BH7">
        <v>320079.61290322582</v>
      </c>
      <c r="BI7">
        <v>311663.93548387103</v>
      </c>
      <c r="BJ7">
        <v>308423.22580645158</v>
      </c>
      <c r="BK7">
        <v>255618.90322580651</v>
      </c>
    </row>
    <row r="8" spans="1:63" x14ac:dyDescent="0.25">
      <c r="A8" t="s">
        <v>4</v>
      </c>
      <c r="B8">
        <v>64173.354838709667</v>
      </c>
      <c r="C8">
        <v>72725.225806451606</v>
      </c>
      <c r="D8">
        <v>486.35483870967738</v>
      </c>
      <c r="E8">
        <v>1779.161290322581</v>
      </c>
      <c r="F8">
        <v>57450.967741935478</v>
      </c>
      <c r="G8">
        <v>64461.322580645159</v>
      </c>
      <c r="H8">
        <v>263.35483870967738</v>
      </c>
      <c r="I8">
        <v>1263</v>
      </c>
      <c r="J8">
        <v>1222.161290322581</v>
      </c>
      <c r="K8">
        <v>3734.9354838709678</v>
      </c>
      <c r="L8">
        <v>202.06451612903231</v>
      </c>
      <c r="M8">
        <v>58611.193548387098</v>
      </c>
      <c r="N8">
        <v>18018.322580645159</v>
      </c>
      <c r="O8">
        <v>70491.451612903227</v>
      </c>
      <c r="P8">
        <v>48367.193548387098</v>
      </c>
      <c r="Q8">
        <v>1915.483870967742</v>
      </c>
      <c r="R8">
        <v>2454.5483870967741</v>
      </c>
      <c r="S8">
        <v>72240.741935483864</v>
      </c>
      <c r="T8">
        <v>108807.3548387097</v>
      </c>
      <c r="U8">
        <v>53732.903225806447</v>
      </c>
      <c r="V8">
        <v>482.25806451612902</v>
      </c>
      <c r="W8">
        <v>155.32258064516131</v>
      </c>
      <c r="X8">
        <v>53808.93548387097</v>
      </c>
      <c r="Y8">
        <v>132.61290322580649</v>
      </c>
      <c r="Z8">
        <v>174378.12903225809</v>
      </c>
      <c r="AA8">
        <v>108118.4838709677</v>
      </c>
      <c r="AB8">
        <v>1030.7741935483871</v>
      </c>
      <c r="AC8">
        <v>204.58064516129031</v>
      </c>
      <c r="AD8">
        <v>122357.0322580645</v>
      </c>
      <c r="AE8">
        <v>89706.903225806454</v>
      </c>
      <c r="AF8">
        <v>90.032258064516128</v>
      </c>
      <c r="AG8">
        <v>323179</v>
      </c>
      <c r="AH8">
        <v>485017.19354838709</v>
      </c>
      <c r="AI8">
        <v>413863.61290322582</v>
      </c>
      <c r="AJ8">
        <v>336593.54838709679</v>
      </c>
      <c r="AK8">
        <v>470503.3548387097</v>
      </c>
      <c r="AL8">
        <v>217240.935483871</v>
      </c>
      <c r="AM8">
        <v>389001.45161290321</v>
      </c>
      <c r="AN8">
        <v>192399.19354838709</v>
      </c>
      <c r="AO8">
        <v>377156.58064516127</v>
      </c>
      <c r="AP8">
        <v>143017.83870967739</v>
      </c>
      <c r="AQ8">
        <v>695928.48387096776</v>
      </c>
      <c r="AR8">
        <v>177461.19354838709</v>
      </c>
      <c r="AS8">
        <v>260861.16129032261</v>
      </c>
      <c r="AT8">
        <v>340505.70967741928</v>
      </c>
      <c r="AU8">
        <v>311521.96774193551</v>
      </c>
      <c r="AV8">
        <v>600487.09677419357</v>
      </c>
      <c r="AW8">
        <v>273283.6451612903</v>
      </c>
      <c r="AX8">
        <v>398710.70967741928</v>
      </c>
      <c r="AY8">
        <v>198363.29032258061</v>
      </c>
      <c r="AZ8">
        <v>569713.25806451612</v>
      </c>
      <c r="BA8">
        <v>410685.29032258072</v>
      </c>
      <c r="BB8">
        <v>319298.29032258072</v>
      </c>
      <c r="BC8">
        <v>478536.09677419357</v>
      </c>
      <c r="BD8">
        <v>226542.12903225809</v>
      </c>
      <c r="BE8">
        <v>306424.12903225812</v>
      </c>
      <c r="BF8">
        <v>337089.06451612897</v>
      </c>
      <c r="BG8">
        <v>334135.38709677418</v>
      </c>
      <c r="BH8">
        <v>417414.67741935479</v>
      </c>
      <c r="BI8">
        <v>338664.06451612897</v>
      </c>
      <c r="BJ8">
        <v>532152.22580645164</v>
      </c>
      <c r="BK8">
        <v>352511.54838709679</v>
      </c>
    </row>
    <row r="9" spans="1:63" x14ac:dyDescent="0.25">
      <c r="A9" t="s">
        <v>5</v>
      </c>
      <c r="B9">
        <v>45962</v>
      </c>
      <c r="C9">
        <v>46086.290322580637</v>
      </c>
      <c r="D9">
        <v>115921.4838709677</v>
      </c>
      <c r="E9">
        <v>1322.677419354839</v>
      </c>
      <c r="F9">
        <v>90501.161290322576</v>
      </c>
      <c r="G9">
        <v>71937.903225806454</v>
      </c>
      <c r="H9">
        <v>107832.70967741931</v>
      </c>
      <c r="I9">
        <v>1882.7741935483871</v>
      </c>
      <c r="J9">
        <v>14797.77419354839</v>
      </c>
      <c r="K9">
        <v>366.83870967741927</v>
      </c>
      <c r="L9">
        <v>64164</v>
      </c>
      <c r="M9">
        <v>2167.2258064516132</v>
      </c>
      <c r="N9">
        <v>198.41935483870969</v>
      </c>
      <c r="O9">
        <v>42791.322580645159</v>
      </c>
      <c r="P9">
        <v>48452.096774193553</v>
      </c>
      <c r="Q9">
        <v>167.45161290322579</v>
      </c>
      <c r="R9">
        <v>1085</v>
      </c>
      <c r="S9">
        <v>18890.096774193549</v>
      </c>
      <c r="T9">
        <v>13929.290322580649</v>
      </c>
      <c r="U9">
        <v>108526.935483871</v>
      </c>
      <c r="V9">
        <v>73169.612903225803</v>
      </c>
      <c r="W9">
        <v>51931.645161290333</v>
      </c>
      <c r="X9">
        <v>187.90322580645159</v>
      </c>
      <c r="Y9">
        <v>75893.677419354834</v>
      </c>
      <c r="Z9">
        <v>227.12903225806451</v>
      </c>
      <c r="AA9">
        <v>1427.9032258064519</v>
      </c>
      <c r="AB9">
        <v>133.9677419354839</v>
      </c>
      <c r="AC9">
        <v>126189.3870967742</v>
      </c>
      <c r="AD9">
        <v>122.6774193548387</v>
      </c>
      <c r="AE9">
        <v>1618.1935483870971</v>
      </c>
      <c r="AF9">
        <v>72309.903225806454</v>
      </c>
      <c r="AG9">
        <v>421927.32258064521</v>
      </c>
      <c r="AH9">
        <v>327228.06451612897</v>
      </c>
      <c r="AI9">
        <v>313226.41935483873</v>
      </c>
      <c r="AJ9">
        <v>530895.77419354836</v>
      </c>
      <c r="AK9">
        <v>140419.61290322579</v>
      </c>
      <c r="AL9">
        <v>355075.70967741928</v>
      </c>
      <c r="AM9">
        <v>364895.19354838709</v>
      </c>
      <c r="AN9">
        <v>386134.19354838709</v>
      </c>
      <c r="AO9">
        <v>526890.6451612903</v>
      </c>
      <c r="AP9">
        <v>311423.32258064521</v>
      </c>
      <c r="AQ9">
        <v>167110.064516129</v>
      </c>
      <c r="AR9">
        <v>465487.67741935479</v>
      </c>
      <c r="AS9">
        <v>197509.29032258061</v>
      </c>
      <c r="AT9">
        <v>361033.96774193551</v>
      </c>
      <c r="AU9">
        <v>293915.29032258072</v>
      </c>
      <c r="AV9">
        <v>364242.93548387103</v>
      </c>
      <c r="AW9">
        <v>526289.67741935479</v>
      </c>
      <c r="AX9">
        <v>443850.70967741928</v>
      </c>
      <c r="AY9">
        <v>331759.32258064521</v>
      </c>
      <c r="AZ9">
        <v>256828.90322580651</v>
      </c>
      <c r="BA9">
        <v>531983.74193548388</v>
      </c>
      <c r="BB9">
        <v>383290.96774193551</v>
      </c>
      <c r="BC9">
        <v>227433.03225806449</v>
      </c>
      <c r="BD9">
        <v>600895.87096774194</v>
      </c>
      <c r="BE9">
        <v>416125.25806451612</v>
      </c>
      <c r="BF9">
        <v>248097.74193548391</v>
      </c>
      <c r="BG9">
        <v>209981.96774193551</v>
      </c>
      <c r="BH9">
        <v>434670.77419354842</v>
      </c>
      <c r="BI9">
        <v>338699.83870967739</v>
      </c>
      <c r="BJ9">
        <v>440359.83870967739</v>
      </c>
      <c r="BK9">
        <v>312747.12903225812</v>
      </c>
    </row>
    <row r="10" spans="1:63" x14ac:dyDescent="0.25">
      <c r="A10" t="s">
        <v>6</v>
      </c>
      <c r="B10">
        <v>1298.1290322580651</v>
      </c>
      <c r="C10">
        <v>14909.77419354839</v>
      </c>
      <c r="D10">
        <v>1422.4516129032261</v>
      </c>
      <c r="E10">
        <v>2895.0967741935478</v>
      </c>
      <c r="F10">
        <v>166.93548387096769</v>
      </c>
      <c r="G10">
        <v>61022.451612903227</v>
      </c>
      <c r="H10">
        <v>1136.0322580645161</v>
      </c>
      <c r="I10">
        <v>17862.83870967742</v>
      </c>
      <c r="J10">
        <v>1379.5483870967739</v>
      </c>
      <c r="K10">
        <v>42606.451612903227</v>
      </c>
      <c r="L10">
        <v>45910.838709677417</v>
      </c>
      <c r="M10">
        <v>74298</v>
      </c>
      <c r="N10">
        <v>42789.93548387097</v>
      </c>
      <c r="O10">
        <v>156358.45161290321</v>
      </c>
      <c r="P10">
        <v>409.93548387096769</v>
      </c>
      <c r="Q10">
        <v>14026.38709677419</v>
      </c>
      <c r="R10">
        <v>1710.5483870967739</v>
      </c>
      <c r="S10">
        <v>57460.483870967742</v>
      </c>
      <c r="T10">
        <v>124401.6774193548</v>
      </c>
      <c r="U10">
        <v>72507.258064516136</v>
      </c>
      <c r="V10">
        <v>483</v>
      </c>
      <c r="W10">
        <v>56978.741935483871</v>
      </c>
      <c r="X10">
        <v>389.74193548387098</v>
      </c>
      <c r="Y10">
        <v>207.93548387096769</v>
      </c>
      <c r="Z10">
        <v>218.12903225806451</v>
      </c>
      <c r="AA10">
        <v>79288.258064516136</v>
      </c>
      <c r="AB10">
        <v>117279.1290322581</v>
      </c>
      <c r="AC10">
        <v>96.967741935483872</v>
      </c>
      <c r="AD10">
        <v>54032.225806451614</v>
      </c>
      <c r="AE10">
        <v>208782.87096774191</v>
      </c>
      <c r="AF10">
        <v>258.70967741935482</v>
      </c>
      <c r="AG10">
        <v>249090.54838709679</v>
      </c>
      <c r="AH10">
        <v>347370.12903225812</v>
      </c>
      <c r="AI10">
        <v>546563.03225806449</v>
      </c>
      <c r="AJ10">
        <v>203657.77419354839</v>
      </c>
      <c r="AK10">
        <v>380354.93548387103</v>
      </c>
      <c r="AL10">
        <v>383468.96774193551</v>
      </c>
      <c r="AM10">
        <v>365373.6451612903</v>
      </c>
      <c r="AN10">
        <v>322191.83870967739</v>
      </c>
      <c r="AO10">
        <v>259372.12903225809</v>
      </c>
      <c r="AP10">
        <v>322647.16129032261</v>
      </c>
      <c r="AQ10">
        <v>310349.22580645158</v>
      </c>
      <c r="AR10">
        <v>293932.87096774188</v>
      </c>
      <c r="AS10">
        <v>247007.12903225809</v>
      </c>
      <c r="AT10">
        <v>316204.32258064521</v>
      </c>
      <c r="AU10">
        <v>298567.93548387103</v>
      </c>
      <c r="AV10">
        <v>293638.77419354842</v>
      </c>
      <c r="AW10">
        <v>241473.22580645161</v>
      </c>
      <c r="AX10">
        <v>416845.77419354842</v>
      </c>
      <c r="AY10">
        <v>243650.54838709679</v>
      </c>
      <c r="AZ10">
        <v>384531.83870967739</v>
      </c>
      <c r="BA10">
        <v>422736.03225806449</v>
      </c>
      <c r="BB10">
        <v>523921.16129032261</v>
      </c>
      <c r="BC10">
        <v>345908.74193548388</v>
      </c>
      <c r="BD10">
        <v>733900.45161290327</v>
      </c>
      <c r="BE10">
        <v>109078.3870967742</v>
      </c>
      <c r="BF10">
        <v>653261.83870967745</v>
      </c>
      <c r="BG10">
        <v>336702.58064516127</v>
      </c>
      <c r="BH10">
        <v>543188.45161290327</v>
      </c>
      <c r="BI10">
        <v>455717.06451612897</v>
      </c>
      <c r="BJ10">
        <v>591266.22580645164</v>
      </c>
      <c r="BK10">
        <v>178676.38709677421</v>
      </c>
    </row>
    <row r="11" spans="1:63" x14ac:dyDescent="0.25">
      <c r="A11" t="s">
        <v>7</v>
      </c>
      <c r="B11">
        <v>42652.129032258068</v>
      </c>
      <c r="C11">
        <v>1352.741935483871</v>
      </c>
      <c r="D11">
        <v>2905.322580645161</v>
      </c>
      <c r="E11">
        <v>326.74193548387098</v>
      </c>
      <c r="F11">
        <v>58330.451612903227</v>
      </c>
      <c r="G11">
        <v>73637.225806451606</v>
      </c>
      <c r="H11">
        <v>60192.06451612903</v>
      </c>
      <c r="I11">
        <v>17147.580645161292</v>
      </c>
      <c r="J11">
        <v>1332.161290322581</v>
      </c>
      <c r="K11">
        <v>438.16129032258073</v>
      </c>
      <c r="L11">
        <v>3797.5483870967741</v>
      </c>
      <c r="M11">
        <v>47083.645161290333</v>
      </c>
      <c r="N11">
        <v>132893.3548387097</v>
      </c>
      <c r="O11">
        <v>41685.225806451614</v>
      </c>
      <c r="P11">
        <v>26360.129032258061</v>
      </c>
      <c r="Q11">
        <v>2136.7741935483868</v>
      </c>
      <c r="R11">
        <v>380.54838709677421</v>
      </c>
      <c r="S11">
        <v>56450.096774193553</v>
      </c>
      <c r="T11">
        <v>1391</v>
      </c>
      <c r="U11">
        <v>99659.225806451606</v>
      </c>
      <c r="V11">
        <v>55105.354838709667</v>
      </c>
      <c r="W11">
        <v>2044.6129032258059</v>
      </c>
      <c r="X11">
        <v>108711.29032258069</v>
      </c>
      <c r="Y11">
        <v>1666.8709677419349</v>
      </c>
      <c r="Z11">
        <v>87021.806451612909</v>
      </c>
      <c r="AA11">
        <v>56525.548387096773</v>
      </c>
      <c r="AB11">
        <v>1397.2258064516129</v>
      </c>
      <c r="AC11">
        <v>137.51612903225811</v>
      </c>
      <c r="AD11">
        <v>184698.77419354839</v>
      </c>
      <c r="AE11">
        <v>131.32258064516131</v>
      </c>
      <c r="AF11">
        <v>63262.387096774197</v>
      </c>
      <c r="AG11">
        <v>337655.54838709679</v>
      </c>
      <c r="AH11">
        <v>182672.32258064521</v>
      </c>
      <c r="AI11">
        <v>139213.064516129</v>
      </c>
      <c r="AJ11">
        <v>377151.16129032261</v>
      </c>
      <c r="AK11">
        <v>329781.32258064521</v>
      </c>
      <c r="AL11">
        <v>394772.03225806449</v>
      </c>
      <c r="AM11">
        <v>477795.77419354842</v>
      </c>
      <c r="AN11">
        <v>421481.54838709679</v>
      </c>
      <c r="AO11">
        <v>400469.09677419357</v>
      </c>
      <c r="AP11">
        <v>272803.54838709679</v>
      </c>
      <c r="AQ11">
        <v>356300.70967741928</v>
      </c>
      <c r="AR11">
        <v>240511.77419354839</v>
      </c>
      <c r="AS11">
        <v>512461.67741935479</v>
      </c>
      <c r="AT11">
        <v>186898.03225806449</v>
      </c>
      <c r="AU11">
        <v>359318.96774193551</v>
      </c>
      <c r="AV11">
        <v>261723.3548387097</v>
      </c>
      <c r="AW11">
        <v>301482.16129032261</v>
      </c>
      <c r="AX11">
        <v>477691.41935483873</v>
      </c>
      <c r="AY11">
        <v>132702.3548387097</v>
      </c>
      <c r="AZ11">
        <v>500641.32258064521</v>
      </c>
      <c r="BA11">
        <v>272474.90322580643</v>
      </c>
      <c r="BB11">
        <v>382819.90322580643</v>
      </c>
      <c r="BC11">
        <v>434664.51612903218</v>
      </c>
      <c r="BD11">
        <v>366238.96774193551</v>
      </c>
      <c r="BE11">
        <v>475483.16129032261</v>
      </c>
      <c r="BF11">
        <v>280129.45161290321</v>
      </c>
      <c r="BG11">
        <v>764015.06451612909</v>
      </c>
      <c r="BH11">
        <v>255768.74193548391</v>
      </c>
      <c r="BI11">
        <v>545464.19354838715</v>
      </c>
      <c r="BJ11">
        <v>466682</v>
      </c>
      <c r="BK11">
        <v>350407.29032258072</v>
      </c>
    </row>
    <row r="12" spans="1:63" x14ac:dyDescent="0.25">
      <c r="A12" t="s">
        <v>8</v>
      </c>
      <c r="B12">
        <v>65468.129032258068</v>
      </c>
      <c r="C12">
        <v>16973.419354838708</v>
      </c>
      <c r="D12">
        <v>308.41935483870969</v>
      </c>
      <c r="E12">
        <v>70334.838709677424</v>
      </c>
      <c r="F12">
        <v>124191.29032258069</v>
      </c>
      <c r="G12">
        <v>1210.4516129032261</v>
      </c>
      <c r="H12">
        <v>238.12903225806451</v>
      </c>
      <c r="I12">
        <v>90778.967741935485</v>
      </c>
      <c r="J12">
        <v>18244.870967741939</v>
      </c>
      <c r="K12">
        <v>45915.806451612902</v>
      </c>
      <c r="L12">
        <v>12443.516129032259</v>
      </c>
      <c r="M12">
        <v>90401.193548387091</v>
      </c>
      <c r="N12">
        <v>1384.0967741935481</v>
      </c>
      <c r="O12">
        <v>47025.548387096773</v>
      </c>
      <c r="P12">
        <v>317.61290322580652</v>
      </c>
      <c r="Q12">
        <v>1392.2903225806449</v>
      </c>
      <c r="R12">
        <v>1542.483870967742</v>
      </c>
      <c r="S12">
        <v>118512.29032258069</v>
      </c>
      <c r="T12">
        <v>5171.1612903225796</v>
      </c>
      <c r="U12">
        <v>126908.16129032261</v>
      </c>
      <c r="V12">
        <v>56583.193548387098</v>
      </c>
      <c r="W12">
        <v>3486.322580645161</v>
      </c>
      <c r="X12">
        <v>200.45161290322579</v>
      </c>
      <c r="Y12">
        <v>51246.806451612902</v>
      </c>
      <c r="Z12">
        <v>3120.4193548387102</v>
      </c>
      <c r="AA12">
        <v>148192.6451612903</v>
      </c>
      <c r="AB12">
        <v>220.29032258064521</v>
      </c>
      <c r="AC12">
        <v>72131.032258064515</v>
      </c>
      <c r="AD12">
        <v>51881</v>
      </c>
      <c r="AE12">
        <v>549.09677419354841</v>
      </c>
      <c r="AF12">
        <v>1760.8709677419349</v>
      </c>
      <c r="AG12">
        <v>472413.12903225812</v>
      </c>
      <c r="AH12">
        <v>277737.45161290321</v>
      </c>
      <c r="AI12">
        <v>457947.41935483873</v>
      </c>
      <c r="AJ12">
        <v>362244.58064516127</v>
      </c>
      <c r="AK12">
        <v>482185.80645161291</v>
      </c>
      <c r="AL12">
        <v>282278.70967741928</v>
      </c>
      <c r="AM12">
        <v>344193.38709677418</v>
      </c>
      <c r="AN12">
        <v>239398.064516129</v>
      </c>
      <c r="AO12">
        <v>374282.22580645158</v>
      </c>
      <c r="AP12">
        <v>183820.5806451613</v>
      </c>
      <c r="AQ12">
        <v>268238.03225806449</v>
      </c>
      <c r="AR12">
        <v>344982.06451612897</v>
      </c>
      <c r="AS12">
        <v>330590.19354838709</v>
      </c>
      <c r="AT12">
        <v>308679.06451612897</v>
      </c>
      <c r="AU12">
        <v>502091.58064516127</v>
      </c>
      <c r="AV12">
        <v>433527.06451612897</v>
      </c>
      <c r="AW12">
        <v>435997.58064516127</v>
      </c>
      <c r="AX12">
        <v>287126.41935483873</v>
      </c>
      <c r="AY12">
        <v>419566.12903225812</v>
      </c>
      <c r="AZ12">
        <v>262230.3548387097</v>
      </c>
      <c r="BA12">
        <v>553729.19354838715</v>
      </c>
      <c r="BB12">
        <v>521684.93548387103</v>
      </c>
      <c r="BC12">
        <v>222642.87096774191</v>
      </c>
      <c r="BD12">
        <v>441048.74193548388</v>
      </c>
      <c r="BE12">
        <v>563898.80645161285</v>
      </c>
      <c r="BF12">
        <v>434086.77419354842</v>
      </c>
      <c r="BG12">
        <v>367858.3548387097</v>
      </c>
      <c r="BH12">
        <v>255401.4193548387</v>
      </c>
      <c r="BI12">
        <v>161803.67741935479</v>
      </c>
      <c r="BJ12">
        <v>285053.22580645158</v>
      </c>
      <c r="BK12">
        <v>335550.41935483873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1</cp:revision>
  <dcterms:created xsi:type="dcterms:W3CDTF">2015-06-05T18:17:20Z</dcterms:created>
  <dcterms:modified xsi:type="dcterms:W3CDTF">2025-12-16T21:39:03Z</dcterms:modified>
  <dc:language>en-US</dc:language>
</cp:coreProperties>
</file>