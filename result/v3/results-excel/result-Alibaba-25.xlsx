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2D1D0B16-942A-49A6-B003-80E627EF2C1C}" xr6:coauthVersionLast="47" xr6:coauthVersionMax="47" xr10:uidLastSave="{00000000-0000-0000-0000-000000000000}"/>
  <bookViews>
    <workbookView xWindow="-120" yWindow="-120" windowWidth="29040" windowHeight="15720" tabRatio="500" firstSheet="4" activeTab="8" xr2:uid="{00000000-000D-0000-FFFF-FFFF00000000}"/>
  </bookViews>
  <sheets>
    <sheet name="Charts" sheetId="1" r:id="rId1"/>
    <sheet name="Data Age" sheetId="2" r:id="rId2"/>
    <sheet name="Energy" sheetId="4" r:id="rId3"/>
    <sheet name="Makespan" sheetId="6" r:id="rId4"/>
    <sheet name="Success Rate" sheetId="7" r:id="rId5"/>
    <sheet name="Load Edge" sheetId="8" r:id="rId6"/>
    <sheet name="Load Cloud" sheetId="9" r:id="rId7"/>
    <sheet name="Loads" sheetId="10" r:id="rId8"/>
    <sheet name="ANOVA - AoI" sheetId="11" r:id="rId9"/>
    <sheet name="ANOVA - Energy" sheetId="3" r:id="rId10"/>
    <sheet name="ANOVA - Makespan" sheetId="5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5" i="1" l="1"/>
  <c r="T90" i="1" s="1"/>
  <c r="S75" i="1"/>
  <c r="T74" i="1"/>
  <c r="T89" i="1" s="1"/>
  <c r="S74" i="1"/>
  <c r="S89" i="1" s="1"/>
  <c r="T73" i="1"/>
  <c r="T88" i="1" s="1"/>
  <c r="S73" i="1"/>
  <c r="S88" i="1" s="1"/>
  <c r="T72" i="1"/>
  <c r="T87" i="1" s="1"/>
  <c r="S72" i="1"/>
  <c r="S87" i="1" s="1"/>
  <c r="T71" i="1"/>
  <c r="T86" i="1" s="1"/>
  <c r="S71" i="1"/>
  <c r="S86" i="1" s="1"/>
  <c r="T70" i="1"/>
  <c r="T85" i="1" s="1"/>
  <c r="S70" i="1"/>
  <c r="S85" i="1" s="1"/>
  <c r="T69" i="1"/>
  <c r="T84" i="1" s="1"/>
  <c r="S69" i="1"/>
  <c r="S84" i="1" s="1"/>
  <c r="T68" i="1"/>
  <c r="T83" i="1" s="1"/>
  <c r="S68" i="1"/>
  <c r="S83" i="1" s="1"/>
  <c r="T44" i="1"/>
  <c r="T59" i="1" s="1"/>
  <c r="S44" i="1"/>
  <c r="S59" i="1" s="1"/>
  <c r="T43" i="1"/>
  <c r="T58" i="1" s="1"/>
  <c r="S43" i="1"/>
  <c r="S58" i="1" s="1"/>
  <c r="T42" i="1"/>
  <c r="T57" i="1" s="1"/>
  <c r="S42" i="1"/>
  <c r="S57" i="1" s="1"/>
  <c r="T41" i="1"/>
  <c r="T56" i="1" s="1"/>
  <c r="S41" i="1"/>
  <c r="S56" i="1" s="1"/>
  <c r="T40" i="1"/>
  <c r="T55" i="1" s="1"/>
  <c r="S40" i="1"/>
  <c r="S55" i="1" s="1"/>
  <c r="T39" i="1"/>
  <c r="T54" i="1" s="1"/>
  <c r="S39" i="1"/>
  <c r="S54" i="1" s="1"/>
  <c r="T38" i="1"/>
  <c r="T53" i="1" s="1"/>
  <c r="S38" i="1"/>
  <c r="S53" i="1" s="1"/>
  <c r="T37" i="1"/>
  <c r="T52" i="1" s="1"/>
  <c r="S37" i="1"/>
  <c r="S52" i="1" s="1"/>
  <c r="T10" i="1"/>
  <c r="T25" i="1" s="1"/>
  <c r="S10" i="1"/>
  <c r="S25" i="1" s="1"/>
  <c r="T9" i="1"/>
  <c r="T24" i="1" s="1"/>
  <c r="S9" i="1"/>
  <c r="T8" i="1"/>
  <c r="S8" i="1"/>
  <c r="S23" i="1" s="1"/>
  <c r="T7" i="1"/>
  <c r="S7" i="1"/>
  <c r="S22" i="1" s="1"/>
  <c r="T6" i="1"/>
  <c r="S6" i="1"/>
  <c r="T5" i="1"/>
  <c r="T20" i="1" s="1"/>
  <c r="S5" i="1"/>
  <c r="S20" i="1" s="1"/>
  <c r="T4" i="1"/>
  <c r="T19" i="1" s="1"/>
  <c r="S4" i="1"/>
  <c r="T3" i="1"/>
  <c r="T18" i="1" s="1"/>
  <c r="S3" i="1"/>
  <c r="S24" i="1" s="1"/>
  <c r="S21" i="1" l="1"/>
  <c r="T22" i="1"/>
  <c r="S19" i="1"/>
  <c r="T21" i="1"/>
  <c r="T23" i="1"/>
  <c r="S90" i="1"/>
  <c r="S18" i="1"/>
</calcChain>
</file>

<file path=xl/sharedStrings.xml><?xml version="1.0" encoding="utf-8"?>
<sst xmlns="http://schemas.openxmlformats.org/spreadsheetml/2006/main" count="721" uniqueCount="43">
  <si>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</si>
  <si>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</si>
  <si>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</si>
  <si>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</si>
  <si>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</si>
  <si>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</si>
  <si>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</si>
  <si>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</si>
  <si>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</si>
  <si>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</si>
  <si>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</si>
  <si>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</si>
  <si>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</si>
  <si>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</si>
  <si>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</si>
  <si>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</si>
  <si>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</si>
  <si>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</si>
  <si>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</si>
  <si>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</si>
  <si>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</si>
  <si>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Load 1</t>
  </si>
  <si>
    <t>Load 2</t>
  </si>
  <si>
    <t>Anova: Two-Factor With Replication</t>
  </si>
  <si>
    <t>SUMMARY</t>
  </si>
  <si>
    <t>Total</t>
  </si>
  <si>
    <t>Count</t>
  </si>
  <si>
    <t>Sum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</si>
  <si>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</si>
  <si>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</si>
  <si>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</si>
  <si>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</si>
  <si>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</si>
  <si>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</si>
  <si>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</si>
  <si>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</si>
  <si>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</si>
  <si>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</si>
  <si>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</si>
  <si>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</si>
  <si>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</si>
  <si>
    <t>Edge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</si>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</sst>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7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  <font>
      <i/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5" fillId="0" borderId="1" xfId="0" applyFont="1" applyBorder="1" applyAlignment="1">
      <alignment horizontal="right"/>
    </xf>
    <xf numFmtId="0" fontId="0" fillId="0" borderId="2" xfId="0" applyBorder="1"/>
    <xf numFmtId="0" fontId="6" fillId="0" borderId="3" xfId="0" applyFont="1" applyBorder="1" applyAlignment="1">
      <alignment horizontal="center"/>
    </xf>
    <xf numFmtId="0" fontId="0" fillId="0" borderId="0" xfId="0" applyFill="1" applyBorder="1" applyAlignment="1"/>
    <xf numFmtId="0" fontId="5" fillId="0" borderId="1" xfId="0" applyFont="1" applyFill="1" applyBorder="1" applyAlignment="1">
      <alignment horizontal="right"/>
    </xf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9-42FD-ACB9-44F3B5AC17DE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0.87399077873688125</c:v>
                </c:pt>
                <c:pt idx="1">
                  <c:v>0.77222116785177464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9-42FD-ACB9-44F3B5AC17DE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1.7505856346270399</c:v>
                </c:pt>
                <c:pt idx="1">
                  <c:v>1.3845655090872235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9-42FD-ACB9-44F3B5AC17DE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1.7129677262914811</c:v>
                </c:pt>
                <c:pt idx="1">
                  <c:v>1.2454657384114642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19-42FD-ACB9-44F3B5AC17DE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1.8535248231964918</c:v>
                </c:pt>
                <c:pt idx="1">
                  <c:v>1.2206186553376712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9-42FD-ACB9-44F3B5AC17DE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1.6133927866982705</c:v>
                </c:pt>
                <c:pt idx="1">
                  <c:v>1.4466358034693287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19-42FD-ACB9-44F3B5AC17DE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1.3639483893511646</c:v>
                </c:pt>
                <c:pt idx="1">
                  <c:v>1.3807038435179326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19-42FD-ACB9-44F3B5AC17DE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1.5509515037715171</c:v>
                </c:pt>
                <c:pt idx="1">
                  <c:v>1.4575402850260855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19-42FD-ACB9-44F3B5AC1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A-442E-A5C7-2749D2E39E00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0.98375083762510629</c:v>
                </c:pt>
                <c:pt idx="1">
                  <c:v>1.2755352140319924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A-442E-A5C7-2749D2E39E00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0.97754048828900819</c:v>
                </c:pt>
                <c:pt idx="1">
                  <c:v>2.2631094529337683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AA-442E-A5C7-2749D2E39E00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1.3259964060954874</c:v>
                </c:pt>
                <c:pt idx="1">
                  <c:v>1.7798172114318718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AA-442E-A5C7-2749D2E39E00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1.0431899598080916</c:v>
                </c:pt>
                <c:pt idx="1">
                  <c:v>1.7097313772216167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AA-442E-A5C7-2749D2E39E00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1.5407427823829112</c:v>
                </c:pt>
                <c:pt idx="1">
                  <c:v>1.977909243798109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AA-442E-A5C7-2749D2E39E00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1.1405822135032166</c:v>
                </c:pt>
                <c:pt idx="1">
                  <c:v>1.9323399551789524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AA-442E-A5C7-2749D2E39E00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1.2456705257596419</c:v>
                </c:pt>
                <c:pt idx="1">
                  <c:v>2.0624252652538249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AA-442E-A5C7-2749D2E39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B-43B8-AC8F-723398BC57B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0.96944464354351489</c:v>
                </c:pt>
                <c:pt idx="1">
                  <c:v>1.0700282892088522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B-43B8-AC8F-723398BC57B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0.90872652241245266</c:v>
                </c:pt>
                <c:pt idx="1">
                  <c:v>1.9793931223633257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B-43B8-AC8F-723398BC57B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1.3211113464202675</c:v>
                </c:pt>
                <c:pt idx="1">
                  <c:v>1.5551305945878946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8B-43B8-AC8F-723398BC57B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1.0224236202383652</c:v>
                </c:pt>
                <c:pt idx="1">
                  <c:v>1.475471016642895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8B-43B8-AC8F-723398BC57B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1.5312802349987198</c:v>
                </c:pt>
                <c:pt idx="1">
                  <c:v>1.7302372382108078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8B-43B8-AC8F-723398BC57B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1.1211464938924414</c:v>
                </c:pt>
                <c:pt idx="1">
                  <c:v>1.6894603768367011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8B-43B8-AC8F-723398BC57B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1.2290689290457613</c:v>
                </c:pt>
                <c:pt idx="1">
                  <c:v>1.8329258677730162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8B-43B8-AC8F-723398BC5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T90"/>
  <sheetViews>
    <sheetView topLeftCell="A34" zoomScale="85" zoomScaleNormal="85" workbookViewId="0">
      <selection activeCell="W46" sqref="W46"/>
    </sheetView>
  </sheetViews>
  <sheetFormatPr defaultRowHeight="15" x14ac:dyDescent="0.25"/>
  <cols>
    <col min="19" max="19" width="12.28515625" style="7" bestFit="1" customWidth="1"/>
  </cols>
  <sheetData>
    <row r="2" spans="18:20" x14ac:dyDescent="0.25">
      <c r="R2" t="s">
        <v>0</v>
      </c>
      <c r="S2">
        <v>1000</v>
      </c>
      <c r="T2">
        <v>2000</v>
      </c>
    </row>
    <row r="3" spans="18:20" x14ac:dyDescent="0.25">
      <c r="R3" s="5" t="s">
        <v>1</v>
      </c>
      <c r="S3">
        <f>'Data Age'!B33</f>
        <v>229177.51020408169</v>
      </c>
      <c r="T3">
        <f>'Data Age'!C33</f>
        <v>2234533.1186790499</v>
      </c>
    </row>
    <row r="4" spans="18:20" x14ac:dyDescent="0.25">
      <c r="R4" s="5" t="s">
        <v>2</v>
      </c>
      <c r="S4">
        <f>'Data Age'!B34</f>
        <v>200299.03061224491</v>
      </c>
      <c r="T4">
        <f>'Data Age'!C34</f>
        <v>1725553.7745098041</v>
      </c>
    </row>
    <row r="5" spans="18:20" x14ac:dyDescent="0.25">
      <c r="R5" s="6" t="s">
        <v>3</v>
      </c>
      <c r="S5">
        <f>'Data Age'!B35</f>
        <v>401194.85714285722</v>
      </c>
      <c r="T5">
        <f>'Data Age'!C35</f>
        <v>3093857.4850361198</v>
      </c>
    </row>
    <row r="6" spans="18:20" x14ac:dyDescent="0.25">
      <c r="R6" s="5" t="s">
        <v>4</v>
      </c>
      <c r="S6">
        <f>'Data Age'!B36</f>
        <v>392573.67857142852</v>
      </c>
      <c r="T6">
        <f>'Data Age'!C36</f>
        <v>2783034.4406604748</v>
      </c>
    </row>
    <row r="7" spans="18:20" x14ac:dyDescent="0.25">
      <c r="R7" s="5" t="s">
        <v>5</v>
      </c>
      <c r="S7">
        <f>'Data Age'!B37</f>
        <v>424786.20408163272</v>
      </c>
      <c r="T7">
        <f>'Data Age'!C37</f>
        <v>2727512.810629515</v>
      </c>
    </row>
    <row r="8" spans="18:20" x14ac:dyDescent="0.25">
      <c r="R8" s="5" t="s">
        <v>6</v>
      </c>
      <c r="S8">
        <f>'Data Age'!B38</f>
        <v>369753.34183673467</v>
      </c>
      <c r="T8">
        <f>'Data Age'!C38</f>
        <v>3232555.6135190921</v>
      </c>
    </row>
    <row r="9" spans="18:20" x14ac:dyDescent="0.25">
      <c r="R9" s="6" t="s">
        <v>7</v>
      </c>
      <c r="S9">
        <f>'Data Age'!B39</f>
        <v>312586.29591836728</v>
      </c>
      <c r="T9">
        <f>'Data Age'!C39</f>
        <v>3085228.4654282769</v>
      </c>
    </row>
    <row r="10" spans="18:20" x14ac:dyDescent="0.25">
      <c r="R10" s="5" t="s">
        <v>8</v>
      </c>
      <c r="S10">
        <f>'Data Age'!B40</f>
        <v>355443.20408163272</v>
      </c>
      <c r="T10">
        <f>'Data Age'!C40</f>
        <v>3256922.0386996898</v>
      </c>
    </row>
    <row r="17" spans="18:20" x14ac:dyDescent="0.25">
      <c r="R17" t="s">
        <v>0</v>
      </c>
      <c r="S17">
        <v>1000</v>
      </c>
      <c r="T17">
        <v>2000</v>
      </c>
    </row>
    <row r="18" spans="18:20" x14ac:dyDescent="0.25">
      <c r="R18" s="5" t="s">
        <v>1</v>
      </c>
      <c r="S18">
        <f>S3/S3</f>
        <v>1</v>
      </c>
      <c r="T18">
        <f>T3/T3</f>
        <v>1</v>
      </c>
    </row>
    <row r="19" spans="18:20" x14ac:dyDescent="0.25">
      <c r="R19" s="5" t="s">
        <v>2</v>
      </c>
      <c r="S19">
        <f>S4/S3</f>
        <v>0.87399077873688125</v>
      </c>
      <c r="T19">
        <f>T4/T3</f>
        <v>0.77222116785177464</v>
      </c>
    </row>
    <row r="20" spans="18:20" x14ac:dyDescent="0.25">
      <c r="R20" s="6" t="s">
        <v>3</v>
      </c>
      <c r="S20">
        <f>S5/S3</f>
        <v>1.7505856346270399</v>
      </c>
      <c r="T20">
        <f>T5/T3</f>
        <v>1.3845655090872235</v>
      </c>
    </row>
    <row r="21" spans="18:20" x14ac:dyDescent="0.25">
      <c r="R21" s="5" t="s">
        <v>4</v>
      </c>
      <c r="S21">
        <f>S6/S3</f>
        <v>1.7129677262914811</v>
      </c>
      <c r="T21">
        <f>T6/T3</f>
        <v>1.2454657384114642</v>
      </c>
    </row>
    <row r="22" spans="18:20" x14ac:dyDescent="0.25">
      <c r="R22" s="5" t="s">
        <v>5</v>
      </c>
      <c r="S22">
        <f>S7/S3</f>
        <v>1.8535248231964918</v>
      </c>
      <c r="T22">
        <f>T7/T3</f>
        <v>1.2206186553376712</v>
      </c>
    </row>
    <row r="23" spans="18:20" x14ac:dyDescent="0.25">
      <c r="R23" s="5" t="s">
        <v>6</v>
      </c>
      <c r="S23">
        <f>S8/S3</f>
        <v>1.6133927866982705</v>
      </c>
      <c r="T23">
        <f>T8/T3</f>
        <v>1.4466358034693287</v>
      </c>
    </row>
    <row r="24" spans="18:20" x14ac:dyDescent="0.25">
      <c r="R24" s="6" t="s">
        <v>7</v>
      </c>
      <c r="S24">
        <f>S9/S3</f>
        <v>1.3639483893511646</v>
      </c>
      <c r="T24">
        <f>T9/T3</f>
        <v>1.3807038435179326</v>
      </c>
    </row>
    <row r="25" spans="18:20" x14ac:dyDescent="0.25">
      <c r="R25" s="5" t="s">
        <v>8</v>
      </c>
      <c r="S25">
        <f>S10/S3</f>
        <v>1.5509515037715171</v>
      </c>
      <c r="T25">
        <f>T10/T3</f>
        <v>1.4575402850260855</v>
      </c>
    </row>
    <row r="36" spans="18:20" x14ac:dyDescent="0.25">
      <c r="R36" t="s">
        <v>9</v>
      </c>
      <c r="S36">
        <v>1000</v>
      </c>
      <c r="T36">
        <v>2000</v>
      </c>
    </row>
    <row r="37" spans="18:20" x14ac:dyDescent="0.25">
      <c r="R37" s="5" t="s">
        <v>1</v>
      </c>
      <c r="S37">
        <f>Energy!B33</f>
        <v>4632275313.3145943</v>
      </c>
      <c r="T37">
        <f>Energy!C33</f>
        <v>12127464225.27384</v>
      </c>
    </row>
    <row r="38" spans="18:20" x14ac:dyDescent="0.25">
      <c r="R38" s="5" t="s">
        <v>2</v>
      </c>
      <c r="S38">
        <f>Energy!B34</f>
        <v>4557004719.583334</v>
      </c>
      <c r="T38">
        <f>Energy!C34</f>
        <v>15469007676.25</v>
      </c>
    </row>
    <row r="39" spans="18:20" x14ac:dyDescent="0.25">
      <c r="R39" s="6" t="s">
        <v>3</v>
      </c>
      <c r="S39">
        <f>Energy!B35</f>
        <v>4528236671.666667</v>
      </c>
      <c r="T39">
        <f>Energy!C35</f>
        <v>27445778928.333328</v>
      </c>
    </row>
    <row r="40" spans="18:20" x14ac:dyDescent="0.25">
      <c r="R40" s="5" t="s">
        <v>4</v>
      </c>
      <c r="S40">
        <f>Energy!B36</f>
        <v>6142380417.5</v>
      </c>
      <c r="T40">
        <f>Energy!C36</f>
        <v>21584669559.166672</v>
      </c>
    </row>
    <row r="41" spans="18:20" x14ac:dyDescent="0.25">
      <c r="R41" s="5" t="s">
        <v>5</v>
      </c>
      <c r="S41">
        <f>Energy!B37</f>
        <v>4832343097.916667</v>
      </c>
      <c r="T41">
        <f>Energy!C37</f>
        <v>20734706112.083328</v>
      </c>
    </row>
    <row r="42" spans="18:20" x14ac:dyDescent="0.25">
      <c r="R42" s="5" t="s">
        <v>6</v>
      </c>
      <c r="S42">
        <f>Energy!B38</f>
        <v>7137144755</v>
      </c>
      <c r="T42">
        <f>Energy!C38</f>
        <v>23987023595</v>
      </c>
    </row>
    <row r="43" spans="18:20" x14ac:dyDescent="0.25">
      <c r="R43" s="6" t="s">
        <v>7</v>
      </c>
      <c r="S43">
        <f>Energy!B39</f>
        <v>5283490830.416666</v>
      </c>
      <c r="T43">
        <f>Energy!C39</f>
        <v>23434383677.5</v>
      </c>
    </row>
    <row r="44" spans="18:20" x14ac:dyDescent="0.25">
      <c r="R44" s="5" t="s">
        <v>8</v>
      </c>
      <c r="S44">
        <f>Energy!B40</f>
        <v>5770288825</v>
      </c>
      <c r="T44">
        <f>Energy!C40</f>
        <v>25011988621.666672</v>
      </c>
    </row>
    <row r="51" spans="18:20" x14ac:dyDescent="0.25">
      <c r="R51" t="s">
        <v>9</v>
      </c>
      <c r="S51">
        <v>1000</v>
      </c>
      <c r="T51">
        <v>2000</v>
      </c>
    </row>
    <row r="52" spans="18:20" x14ac:dyDescent="0.25">
      <c r="R52" s="5" t="s">
        <v>1</v>
      </c>
      <c r="S52">
        <f>S37/S37</f>
        <v>1</v>
      </c>
      <c r="T52">
        <f>T37/T37</f>
        <v>1</v>
      </c>
    </row>
    <row r="53" spans="18:20" x14ac:dyDescent="0.25">
      <c r="R53" s="5" t="s">
        <v>2</v>
      </c>
      <c r="S53">
        <f>S38/S37</f>
        <v>0.98375083762510629</v>
      </c>
      <c r="T53">
        <f>T38/T37</f>
        <v>1.2755352140319924</v>
      </c>
    </row>
    <row r="54" spans="18:20" x14ac:dyDescent="0.25">
      <c r="R54" s="6" t="s">
        <v>3</v>
      </c>
      <c r="S54">
        <f>S39/S37</f>
        <v>0.97754048828900819</v>
      </c>
      <c r="T54">
        <f>T39/T37</f>
        <v>2.2631094529337683</v>
      </c>
    </row>
    <row r="55" spans="18:20" x14ac:dyDescent="0.25">
      <c r="R55" s="5" t="s">
        <v>4</v>
      </c>
      <c r="S55">
        <f>S40/S37</f>
        <v>1.3259964060954874</v>
      </c>
      <c r="T55">
        <f>T40/T37</f>
        <v>1.7798172114318718</v>
      </c>
    </row>
    <row r="56" spans="18:20" x14ac:dyDescent="0.25">
      <c r="R56" s="5" t="s">
        <v>5</v>
      </c>
      <c r="S56">
        <f>S41/S37</f>
        <v>1.0431899598080916</v>
      </c>
      <c r="T56">
        <f>T41/T37</f>
        <v>1.7097313772216167</v>
      </c>
    </row>
    <row r="57" spans="18:20" x14ac:dyDescent="0.25">
      <c r="R57" s="5" t="s">
        <v>6</v>
      </c>
      <c r="S57">
        <f>S42/S37</f>
        <v>1.5407427823829112</v>
      </c>
      <c r="T57">
        <f>T42/T37</f>
        <v>1.977909243798109</v>
      </c>
    </row>
    <row r="58" spans="18:20" x14ac:dyDescent="0.25">
      <c r="R58" s="6" t="s">
        <v>7</v>
      </c>
      <c r="S58">
        <f>S43/S37</f>
        <v>1.1405822135032166</v>
      </c>
      <c r="T58">
        <f>T43/T37</f>
        <v>1.9323399551789524</v>
      </c>
    </row>
    <row r="59" spans="18:20" x14ac:dyDescent="0.25">
      <c r="R59" s="5" t="s">
        <v>8</v>
      </c>
      <c r="S59">
        <f>S44/S37</f>
        <v>1.2456705257596419</v>
      </c>
      <c r="T59">
        <f>T44/T37</f>
        <v>2.0624252652538249</v>
      </c>
    </row>
    <row r="67" spans="18:20" x14ac:dyDescent="0.25">
      <c r="R67" t="s">
        <v>10</v>
      </c>
      <c r="S67">
        <v>1000</v>
      </c>
      <c r="T67">
        <v>2000</v>
      </c>
    </row>
    <row r="68" spans="18:20" x14ac:dyDescent="0.25">
      <c r="R68" s="5" t="s">
        <v>1</v>
      </c>
      <c r="S68">
        <f>Makespan!B33</f>
        <v>4924963</v>
      </c>
      <c r="T68">
        <f>Makespan!C33</f>
        <v>13682956</v>
      </c>
    </row>
    <row r="69" spans="18:20" x14ac:dyDescent="0.25">
      <c r="R69" s="5" t="s">
        <v>2</v>
      </c>
      <c r="S69">
        <f>Makespan!B34</f>
        <v>4774479</v>
      </c>
      <c r="T69">
        <f>Makespan!C34</f>
        <v>14641150</v>
      </c>
    </row>
    <row r="70" spans="18:20" x14ac:dyDescent="0.25">
      <c r="R70" s="6" t="s">
        <v>3</v>
      </c>
      <c r="S70">
        <f>Makespan!B35</f>
        <v>4475444.5</v>
      </c>
      <c r="T70">
        <f>Makespan!C35</f>
        <v>27083949</v>
      </c>
    </row>
    <row r="71" spans="18:20" x14ac:dyDescent="0.25">
      <c r="R71" s="5" t="s">
        <v>4</v>
      </c>
      <c r="S71">
        <f>Makespan!B36</f>
        <v>6506424.5</v>
      </c>
      <c r="T71">
        <f>Makespan!C36</f>
        <v>21278783.5</v>
      </c>
    </row>
    <row r="72" spans="18:20" x14ac:dyDescent="0.25">
      <c r="R72" s="5" t="s">
        <v>5</v>
      </c>
      <c r="S72">
        <f>Makespan!B37</f>
        <v>5035398.5</v>
      </c>
      <c r="T72">
        <f>Makespan!C37</f>
        <v>20188805</v>
      </c>
    </row>
    <row r="73" spans="18:20" x14ac:dyDescent="0.25">
      <c r="R73" s="5" t="s">
        <v>6</v>
      </c>
      <c r="S73">
        <f>Makespan!B38</f>
        <v>7541498.5</v>
      </c>
      <c r="T73">
        <f>Makespan!C38</f>
        <v>23674760</v>
      </c>
    </row>
    <row r="74" spans="18:20" x14ac:dyDescent="0.25">
      <c r="R74" s="6" t="s">
        <v>7</v>
      </c>
      <c r="S74">
        <f>Makespan!B39</f>
        <v>5521605</v>
      </c>
      <c r="T74">
        <f>Makespan!C39</f>
        <v>23116812</v>
      </c>
    </row>
    <row r="75" spans="18:20" x14ac:dyDescent="0.25">
      <c r="R75" s="5" t="s">
        <v>8</v>
      </c>
      <c r="S75">
        <f>Makespan!B40</f>
        <v>6053119</v>
      </c>
      <c r="T75">
        <f>Makespan!C40</f>
        <v>25079844</v>
      </c>
    </row>
    <row r="82" spans="18:20" x14ac:dyDescent="0.25">
      <c r="R82" t="s">
        <v>10</v>
      </c>
      <c r="S82">
        <v>1000</v>
      </c>
      <c r="T82">
        <v>2000</v>
      </c>
    </row>
    <row r="83" spans="18:20" x14ac:dyDescent="0.25">
      <c r="R83" s="5" t="s">
        <v>1</v>
      </c>
      <c r="S83">
        <f>S68/S68</f>
        <v>1</v>
      </c>
      <c r="T83">
        <f>T68/T68</f>
        <v>1</v>
      </c>
    </row>
    <row r="84" spans="18:20" x14ac:dyDescent="0.25">
      <c r="R84" s="5" t="s">
        <v>2</v>
      </c>
      <c r="S84">
        <f>S69/S68</f>
        <v>0.96944464354351489</v>
      </c>
      <c r="T84">
        <f>T69/T68</f>
        <v>1.0700282892088522</v>
      </c>
    </row>
    <row r="85" spans="18:20" x14ac:dyDescent="0.25">
      <c r="R85" s="6" t="s">
        <v>3</v>
      </c>
      <c r="S85">
        <f>S70/S68</f>
        <v>0.90872652241245266</v>
      </c>
      <c r="T85">
        <f>T70/T68</f>
        <v>1.9793931223633257</v>
      </c>
    </row>
    <row r="86" spans="18:20" x14ac:dyDescent="0.25">
      <c r="R86" s="5" t="s">
        <v>4</v>
      </c>
      <c r="S86">
        <f>S71/S68</f>
        <v>1.3211113464202675</v>
      </c>
      <c r="T86">
        <f>T71/T68</f>
        <v>1.5551305945878946</v>
      </c>
    </row>
    <row r="87" spans="18:20" x14ac:dyDescent="0.25">
      <c r="R87" s="5" t="s">
        <v>5</v>
      </c>
      <c r="S87">
        <f>S72/S68</f>
        <v>1.0224236202383652</v>
      </c>
      <c r="T87">
        <f>T72/T68</f>
        <v>1.475471016642895</v>
      </c>
    </row>
    <row r="88" spans="18:20" x14ac:dyDescent="0.25">
      <c r="R88" s="5" t="s">
        <v>6</v>
      </c>
      <c r="S88">
        <f>S73/S68</f>
        <v>1.5312802349987198</v>
      </c>
      <c r="T88">
        <f>T73/T68</f>
        <v>1.7302372382108078</v>
      </c>
    </row>
    <row r="89" spans="18:20" x14ac:dyDescent="0.25">
      <c r="R89" s="6" t="s">
        <v>7</v>
      </c>
      <c r="S89">
        <f>S74/S68</f>
        <v>1.1211464938924414</v>
      </c>
      <c r="T89">
        <f>T74/T68</f>
        <v>1.6894603768367011</v>
      </c>
    </row>
    <row r="90" spans="18:20" x14ac:dyDescent="0.25">
      <c r="R90" s="5" t="s">
        <v>8</v>
      </c>
      <c r="S90">
        <f>S75/S68</f>
        <v>1.2290689290457613</v>
      </c>
      <c r="T90">
        <f>T75/T68</f>
        <v>1.8329258677730162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4"/>
  <sheetViews>
    <sheetView topLeftCell="A42" zoomScaleNormal="100" workbookViewId="0">
      <selection activeCell="B64" sqref="B64"/>
    </sheetView>
  </sheetViews>
  <sheetFormatPr defaultColWidth="8.5703125" defaultRowHeight="15" x14ac:dyDescent="0.25"/>
  <cols>
    <col min="1" max="1" width="24" style="7" customWidth="1"/>
    <col min="2" max="5" width="20" style="7" customWidth="1"/>
    <col min="6" max="6" width="21" style="7" customWidth="1"/>
    <col min="7" max="60" width="20" style="7" customWidth="1"/>
    <col min="61" max="61" width="19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229177.51020408169</v>
      </c>
      <c r="D2">
        <v>224370.92857142861</v>
      </c>
      <c r="E2">
        <v>233984.0918367347</v>
      </c>
      <c r="F2">
        <v>4806.5816326530621</v>
      </c>
    </row>
    <row r="3" spans="1:6" x14ac:dyDescent="0.25">
      <c r="A3" t="s">
        <v>1</v>
      </c>
      <c r="B3">
        <v>2</v>
      </c>
      <c r="C3">
        <v>2234533.1186790499</v>
      </c>
      <c r="D3">
        <v>2149040.5201238389</v>
      </c>
      <c r="E3">
        <v>2320025.7172342618</v>
      </c>
      <c r="F3">
        <v>85492.598555211676</v>
      </c>
    </row>
    <row r="4" spans="1:6" x14ac:dyDescent="0.25">
      <c r="A4" t="s">
        <v>2</v>
      </c>
      <c r="B4">
        <v>1</v>
      </c>
      <c r="C4">
        <v>200299.03061224491</v>
      </c>
      <c r="D4">
        <v>197740.17346938781</v>
      </c>
      <c r="E4">
        <v>202857.88775510201</v>
      </c>
      <c r="F4">
        <v>2558.8571428571449</v>
      </c>
    </row>
    <row r="5" spans="1:6" x14ac:dyDescent="0.25">
      <c r="A5" t="s">
        <v>2</v>
      </c>
      <c r="B5">
        <v>2</v>
      </c>
      <c r="C5">
        <v>1725553.7745098041</v>
      </c>
      <c r="D5">
        <v>1644115.188854489</v>
      </c>
      <c r="E5">
        <v>1806992.3601651189</v>
      </c>
      <c r="F5">
        <v>81438.585655314731</v>
      </c>
    </row>
    <row r="6" spans="1:6" x14ac:dyDescent="0.25">
      <c r="A6" t="s">
        <v>3</v>
      </c>
      <c r="B6">
        <v>1</v>
      </c>
      <c r="C6">
        <v>401194.85714285722</v>
      </c>
      <c r="D6">
        <v>401194.72448979592</v>
      </c>
      <c r="E6">
        <v>401194.98979591829</v>
      </c>
      <c r="F6">
        <v>0.13265306121320461</v>
      </c>
    </row>
    <row r="7" spans="1:6" x14ac:dyDescent="0.25">
      <c r="A7" t="s">
        <v>3</v>
      </c>
      <c r="B7">
        <v>2</v>
      </c>
      <c r="C7">
        <v>3093857.4850361198</v>
      </c>
      <c r="D7">
        <v>3093857.122807018</v>
      </c>
      <c r="E7">
        <v>3093857.8472652221</v>
      </c>
      <c r="F7">
        <v>0.36222910229116678</v>
      </c>
    </row>
    <row r="8" spans="1:6" x14ac:dyDescent="0.25">
      <c r="A8" t="s">
        <v>4</v>
      </c>
      <c r="B8">
        <v>1</v>
      </c>
      <c r="C8">
        <v>392573.67857142852</v>
      </c>
      <c r="D8">
        <v>334760.59183673467</v>
      </c>
      <c r="E8">
        <v>450386.76530612243</v>
      </c>
      <c r="F8">
        <v>57813.086734693883</v>
      </c>
    </row>
    <row r="9" spans="1:6" x14ac:dyDescent="0.25">
      <c r="A9" t="s">
        <v>4</v>
      </c>
      <c r="B9">
        <v>2</v>
      </c>
      <c r="C9">
        <v>2783034.4406604748</v>
      </c>
      <c r="D9">
        <v>2694586.8142414861</v>
      </c>
      <c r="E9">
        <v>2871482.067079464</v>
      </c>
      <c r="F9">
        <v>88447.626418988686</v>
      </c>
    </row>
    <row r="10" spans="1:6" x14ac:dyDescent="0.25">
      <c r="A10" t="s">
        <v>5</v>
      </c>
      <c r="B10">
        <v>1</v>
      </c>
      <c r="C10">
        <v>424786.20408163272</v>
      </c>
      <c r="D10">
        <v>403904.67346938781</v>
      </c>
      <c r="E10">
        <v>445667.73469387757</v>
      </c>
      <c r="F10">
        <v>20881.530612244911</v>
      </c>
    </row>
    <row r="11" spans="1:6" x14ac:dyDescent="0.25">
      <c r="A11" t="s">
        <v>5</v>
      </c>
      <c r="B11">
        <v>2</v>
      </c>
      <c r="C11">
        <v>2727512.810629515</v>
      </c>
      <c r="D11">
        <v>2497373.1723426208</v>
      </c>
      <c r="E11">
        <v>2957652.4489164092</v>
      </c>
      <c r="F11">
        <v>230139.63828689369</v>
      </c>
    </row>
    <row r="12" spans="1:6" ht="15" customHeight="1" x14ac:dyDescent="0.25">
      <c r="A12" s="1" t="s">
        <v>6</v>
      </c>
      <c r="B12">
        <v>1</v>
      </c>
      <c r="C12">
        <v>369753.34183673467</v>
      </c>
      <c r="D12">
        <v>229153.58163265299</v>
      </c>
      <c r="E12">
        <v>510353.10204081627</v>
      </c>
      <c r="F12">
        <v>140599.7602040816</v>
      </c>
    </row>
    <row r="13" spans="1:6" x14ac:dyDescent="0.25">
      <c r="A13" t="s">
        <v>6</v>
      </c>
      <c r="B13">
        <v>2</v>
      </c>
      <c r="C13">
        <v>3232555.6135190921</v>
      </c>
      <c r="D13">
        <v>2971137.2755417959</v>
      </c>
      <c r="E13">
        <v>3493973.9514963878</v>
      </c>
      <c r="F13">
        <v>261418.337977296</v>
      </c>
    </row>
    <row r="14" spans="1:6" x14ac:dyDescent="0.25">
      <c r="A14" t="s">
        <v>7</v>
      </c>
      <c r="B14">
        <v>1</v>
      </c>
      <c r="C14">
        <v>312586.29591836728</v>
      </c>
      <c r="D14">
        <v>265199.82653061219</v>
      </c>
      <c r="E14">
        <v>359972.76530612243</v>
      </c>
      <c r="F14">
        <v>47386.469387755089</v>
      </c>
    </row>
    <row r="15" spans="1:6" x14ac:dyDescent="0.25">
      <c r="A15" t="s">
        <v>7</v>
      </c>
      <c r="B15">
        <v>2</v>
      </c>
      <c r="C15">
        <v>3085228.4654282769</v>
      </c>
      <c r="D15">
        <v>2713526.7750257999</v>
      </c>
      <c r="E15">
        <v>3456930.155830754</v>
      </c>
      <c r="F15">
        <v>371701.69040247682</v>
      </c>
    </row>
    <row r="16" spans="1:6" x14ac:dyDescent="0.25">
      <c r="A16" t="s">
        <v>8</v>
      </c>
      <c r="B16">
        <v>1</v>
      </c>
      <c r="C16">
        <v>355443.20408163272</v>
      </c>
      <c r="D16">
        <v>313855.47959183669</v>
      </c>
      <c r="E16">
        <v>397030.92857142858</v>
      </c>
      <c r="F16">
        <v>41587.724489795917</v>
      </c>
    </row>
    <row r="17" spans="1:6" x14ac:dyDescent="0.25">
      <c r="A17" t="s">
        <v>8</v>
      </c>
      <c r="B17">
        <v>2</v>
      </c>
      <c r="C17">
        <v>3256922.0386996898</v>
      </c>
      <c r="D17">
        <v>3096250.9153766772</v>
      </c>
      <c r="E17">
        <v>3417593.1620227038</v>
      </c>
      <c r="F17">
        <v>160671.12332301331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1231855.3144415659</v>
      </c>
      <c r="D21">
        <v>224370.92857142861</v>
      </c>
      <c r="E21">
        <v>2320025.7172342618</v>
      </c>
      <c r="F21">
        <v>1004504.267252191</v>
      </c>
    </row>
    <row r="22" spans="1:6" x14ac:dyDescent="0.25">
      <c r="A22" t="s">
        <v>2</v>
      </c>
      <c r="C22">
        <v>962926.40256102441</v>
      </c>
      <c r="D22">
        <v>197740.17346938781</v>
      </c>
      <c r="E22">
        <v>1806992.3601651189</v>
      </c>
      <c r="F22">
        <v>764800.56481229782</v>
      </c>
    </row>
    <row r="23" spans="1:6" ht="15" customHeight="1" x14ac:dyDescent="0.25">
      <c r="A23" s="1" t="s">
        <v>3</v>
      </c>
      <c r="C23">
        <v>1747526.171089489</v>
      </c>
      <c r="D23">
        <v>401194.72448979592</v>
      </c>
      <c r="E23">
        <v>3093857.8472652221</v>
      </c>
      <c r="F23">
        <v>1346331.313946659</v>
      </c>
    </row>
    <row r="24" spans="1:6" x14ac:dyDescent="0.25">
      <c r="A24" t="s">
        <v>4</v>
      </c>
      <c r="C24">
        <v>1587804.059615952</v>
      </c>
      <c r="D24">
        <v>334760.59183673467</v>
      </c>
      <c r="E24">
        <v>2871482.067079464</v>
      </c>
      <c r="F24">
        <v>1197563.497932493</v>
      </c>
    </row>
    <row r="25" spans="1:6" x14ac:dyDescent="0.25">
      <c r="A25" t="s">
        <v>5</v>
      </c>
      <c r="C25">
        <v>1576149.5073555741</v>
      </c>
      <c r="D25">
        <v>403904.67346938781</v>
      </c>
      <c r="E25">
        <v>2957652.4489164092</v>
      </c>
      <c r="F25">
        <v>1162900.5124436261</v>
      </c>
    </row>
    <row r="26" spans="1:6" x14ac:dyDescent="0.25">
      <c r="A26" t="s">
        <v>6</v>
      </c>
      <c r="C26">
        <v>1801154.4776779129</v>
      </c>
      <c r="D26">
        <v>229153.58163265299</v>
      </c>
      <c r="E26">
        <v>3493973.9514963878</v>
      </c>
      <c r="F26">
        <v>1446707.6870216541</v>
      </c>
    </row>
    <row r="27" spans="1:6" x14ac:dyDescent="0.25">
      <c r="A27" t="s">
        <v>7</v>
      </c>
      <c r="C27">
        <v>1698907.3806733219</v>
      </c>
      <c r="D27">
        <v>265199.82653061219</v>
      </c>
      <c r="E27">
        <v>3456930.155830754</v>
      </c>
      <c r="F27">
        <v>1411414.171000384</v>
      </c>
    </row>
    <row r="28" spans="1:6" ht="15" customHeight="1" x14ac:dyDescent="0.25">
      <c r="A28" s="1" t="s">
        <v>8</v>
      </c>
      <c r="C28">
        <v>1806182.6213906619</v>
      </c>
      <c r="D28">
        <v>313855.47959183669</v>
      </c>
      <c r="E28">
        <v>3417593.1620227038</v>
      </c>
      <c r="F28">
        <v>1455478.351361915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229177.51020408169</v>
      </c>
      <c r="C33">
        <v>2234533.1186790499</v>
      </c>
    </row>
    <row r="34" spans="1:5" x14ac:dyDescent="0.25">
      <c r="A34" t="s">
        <v>2</v>
      </c>
      <c r="B34">
        <v>200299.03061224491</v>
      </c>
      <c r="C34">
        <v>1725553.7745098041</v>
      </c>
    </row>
    <row r="35" spans="1:5" ht="15" customHeight="1" x14ac:dyDescent="0.25">
      <c r="A35" s="1" t="s">
        <v>3</v>
      </c>
      <c r="B35">
        <v>401194.85714285722</v>
      </c>
      <c r="C35">
        <v>3093857.4850361198</v>
      </c>
    </row>
    <row r="36" spans="1:5" ht="15" customHeight="1" x14ac:dyDescent="0.25">
      <c r="A36" s="1" t="s">
        <v>4</v>
      </c>
      <c r="B36">
        <v>392573.67857142852</v>
      </c>
      <c r="C36">
        <v>2783034.4406604748</v>
      </c>
    </row>
    <row r="37" spans="1:5" x14ac:dyDescent="0.25">
      <c r="A37" t="s">
        <v>5</v>
      </c>
      <c r="B37">
        <v>424786.20408163272</v>
      </c>
      <c r="C37">
        <v>2727512.810629515</v>
      </c>
    </row>
    <row r="38" spans="1:5" x14ac:dyDescent="0.25">
      <c r="A38" t="s">
        <v>6</v>
      </c>
      <c r="B38">
        <v>369753.34183673467</v>
      </c>
      <c r="C38">
        <v>3232555.6135190921</v>
      </c>
    </row>
    <row r="39" spans="1:5" ht="15" customHeight="1" x14ac:dyDescent="0.25">
      <c r="A39" s="1" t="s">
        <v>7</v>
      </c>
      <c r="B39">
        <v>312586.29591836728</v>
      </c>
      <c r="C39">
        <v>3085228.4654282769</v>
      </c>
    </row>
    <row r="40" spans="1:5" x14ac:dyDescent="0.25">
      <c r="A40" t="s">
        <v>8</v>
      </c>
      <c r="B40">
        <v>355443.20408163272</v>
      </c>
      <c r="C40">
        <v>3256922.0386996898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233984.0918367347</v>
      </c>
      <c r="C45">
        <v>224370.92857142861</v>
      </c>
      <c r="D45">
        <v>2149040.5201238389</v>
      </c>
      <c r="E45">
        <v>2320025.7172342618</v>
      </c>
    </row>
    <row r="46" spans="1:5" x14ac:dyDescent="0.25">
      <c r="A46" t="s">
        <v>2</v>
      </c>
      <c r="B46">
        <v>197740.17346938781</v>
      </c>
      <c r="C46">
        <v>202857.88775510201</v>
      </c>
      <c r="D46">
        <v>1644115.188854489</v>
      </c>
      <c r="E46">
        <v>1806992.3601651189</v>
      </c>
    </row>
    <row r="47" spans="1:5" ht="15" customHeight="1" x14ac:dyDescent="0.25">
      <c r="A47" s="1" t="s">
        <v>3</v>
      </c>
      <c r="B47">
        <v>401194.72448979592</v>
      </c>
      <c r="C47">
        <v>401194.98979591829</v>
      </c>
      <c r="D47">
        <v>3093857.122807018</v>
      </c>
      <c r="E47">
        <v>3093857.8472652221</v>
      </c>
    </row>
    <row r="48" spans="1:5" x14ac:dyDescent="0.25">
      <c r="A48" t="s">
        <v>4</v>
      </c>
      <c r="B48">
        <v>450386.76530612243</v>
      </c>
      <c r="C48">
        <v>334760.59183673467</v>
      </c>
      <c r="D48">
        <v>2871482.067079464</v>
      </c>
      <c r="E48">
        <v>2694586.8142414861</v>
      </c>
    </row>
    <row r="49" spans="1:5" x14ac:dyDescent="0.25">
      <c r="A49" t="s">
        <v>5</v>
      </c>
      <c r="B49">
        <v>403904.67346938781</v>
      </c>
      <c r="C49">
        <v>445667.73469387757</v>
      </c>
      <c r="D49">
        <v>2957652.4489164092</v>
      </c>
      <c r="E49">
        <v>2497373.1723426208</v>
      </c>
    </row>
    <row r="50" spans="1:5" x14ac:dyDescent="0.25">
      <c r="A50" t="s">
        <v>6</v>
      </c>
      <c r="B50">
        <v>229153.58163265299</v>
      </c>
      <c r="C50">
        <v>510353.10204081627</v>
      </c>
      <c r="D50">
        <v>3493973.9514963878</v>
      </c>
      <c r="E50">
        <v>2971137.2755417959</v>
      </c>
    </row>
    <row r="51" spans="1:5" ht="15" customHeight="1" x14ac:dyDescent="0.25">
      <c r="A51" s="1" t="s">
        <v>7</v>
      </c>
      <c r="B51">
        <v>265199.82653061219</v>
      </c>
      <c r="C51">
        <v>359972.76530612243</v>
      </c>
      <c r="D51">
        <v>3456930.155830754</v>
      </c>
      <c r="E51">
        <v>2713526.7750257999</v>
      </c>
    </row>
    <row r="52" spans="1:5" x14ac:dyDescent="0.25">
      <c r="A52" t="s">
        <v>8</v>
      </c>
      <c r="B52">
        <v>313855.47959183669</v>
      </c>
      <c r="C52">
        <v>397030.92857142858</v>
      </c>
      <c r="D52">
        <v>3417593.1620227038</v>
      </c>
      <c r="E52">
        <v>3096250.9153766772</v>
      </c>
    </row>
    <row r="57" spans="1:5" x14ac:dyDescent="0.25">
      <c r="A57" t="s">
        <v>20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1" t="s">
        <v>1</v>
      </c>
      <c r="B59">
        <v>233984.0918367347</v>
      </c>
      <c r="C59">
        <v>2149040.5201238389</v>
      </c>
    </row>
    <row r="60" spans="1:5" x14ac:dyDescent="0.25">
      <c r="A60" t="s">
        <v>1</v>
      </c>
      <c r="B60">
        <v>224370.92857142861</v>
      </c>
      <c r="C60">
        <v>2320025.7172342618</v>
      </c>
    </row>
    <row r="61" spans="1:5" x14ac:dyDescent="0.25">
      <c r="A61" t="s">
        <v>2</v>
      </c>
      <c r="B61">
        <v>197740.17346938781</v>
      </c>
      <c r="C61">
        <v>1644115.188854489</v>
      </c>
    </row>
    <row r="62" spans="1:5" x14ac:dyDescent="0.25">
      <c r="A62" t="s">
        <v>2</v>
      </c>
      <c r="B62">
        <v>202857.88775510201</v>
      </c>
      <c r="C62">
        <v>1806992.3601651189</v>
      </c>
    </row>
    <row r="63" spans="1:5" x14ac:dyDescent="0.25">
      <c r="A63" t="s">
        <v>3</v>
      </c>
      <c r="B63">
        <v>401194.72448979592</v>
      </c>
      <c r="C63">
        <v>3093857.122807018</v>
      </c>
    </row>
    <row r="64" spans="1:5" x14ac:dyDescent="0.25">
      <c r="A64" t="s">
        <v>3</v>
      </c>
      <c r="B64">
        <v>401194.98979591829</v>
      </c>
      <c r="C64">
        <v>3093857.8472652221</v>
      </c>
    </row>
    <row r="65" spans="1:3" x14ac:dyDescent="0.25">
      <c r="A65" t="s">
        <v>4</v>
      </c>
      <c r="B65">
        <v>450386.76530612243</v>
      </c>
      <c r="C65">
        <v>2871482.067079464</v>
      </c>
    </row>
    <row r="66" spans="1:3" x14ac:dyDescent="0.25">
      <c r="A66" t="s">
        <v>4</v>
      </c>
      <c r="B66">
        <v>334760.59183673467</v>
      </c>
      <c r="C66">
        <v>2694586.8142414861</v>
      </c>
    </row>
    <row r="67" spans="1:3" x14ac:dyDescent="0.25">
      <c r="A67" t="s">
        <v>5</v>
      </c>
      <c r="B67">
        <v>403904.67346938781</v>
      </c>
      <c r="C67">
        <v>2957652.4489164092</v>
      </c>
    </row>
    <row r="68" spans="1:3" x14ac:dyDescent="0.25">
      <c r="A68" t="s">
        <v>5</v>
      </c>
      <c r="B68">
        <v>445667.73469387757</v>
      </c>
      <c r="C68">
        <v>2497373.1723426208</v>
      </c>
    </row>
    <row r="69" spans="1:3" x14ac:dyDescent="0.25">
      <c r="A69" t="s">
        <v>6</v>
      </c>
      <c r="B69">
        <v>229153.58163265299</v>
      </c>
      <c r="C69">
        <v>3493973.9514963878</v>
      </c>
    </row>
    <row r="70" spans="1:3" x14ac:dyDescent="0.25">
      <c r="A70" t="s">
        <v>6</v>
      </c>
      <c r="B70">
        <v>510353.10204081627</v>
      </c>
      <c r="C70">
        <v>2971137.2755417959</v>
      </c>
    </row>
    <row r="71" spans="1:3" x14ac:dyDescent="0.25">
      <c r="A71" t="s">
        <v>7</v>
      </c>
      <c r="B71">
        <v>265199.82653061219</v>
      </c>
      <c r="C71">
        <v>3456930.155830754</v>
      </c>
    </row>
    <row r="72" spans="1:3" x14ac:dyDescent="0.25">
      <c r="A72" t="s">
        <v>7</v>
      </c>
      <c r="B72">
        <v>359972.76530612243</v>
      </c>
      <c r="C72">
        <v>2713526.7750257999</v>
      </c>
    </row>
    <row r="73" spans="1:3" x14ac:dyDescent="0.25">
      <c r="A73" t="s">
        <v>8</v>
      </c>
      <c r="B73">
        <v>313855.47959183669</v>
      </c>
      <c r="C73">
        <v>3417593.1620227038</v>
      </c>
    </row>
    <row r="74" spans="1:3" x14ac:dyDescent="0.25">
      <c r="A74" t="s">
        <v>8</v>
      </c>
      <c r="B74">
        <v>397030.92857142858</v>
      </c>
      <c r="C74">
        <v>3096250.9153766772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4"/>
  <sheetViews>
    <sheetView topLeftCell="A38" zoomScaleNormal="100" workbookViewId="0">
      <selection activeCell="A57" sqref="A57:C74"/>
    </sheetView>
  </sheetViews>
  <sheetFormatPr defaultColWidth="8.5703125" defaultRowHeight="15" x14ac:dyDescent="0.25"/>
  <cols>
    <col min="1" max="1" width="24" style="7" customWidth="1"/>
    <col min="2" max="2" width="19" style="7" customWidth="1"/>
    <col min="3" max="6" width="20" style="7" customWidth="1"/>
    <col min="7" max="8" width="19" style="7" customWidth="1"/>
    <col min="9" max="61" width="20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4632275313.3145943</v>
      </c>
      <c r="D2">
        <v>4498392983.6978006</v>
      </c>
      <c r="E2">
        <v>4766157642.9313889</v>
      </c>
      <c r="F2">
        <v>133882329.61679409</v>
      </c>
    </row>
    <row r="3" spans="1:6" x14ac:dyDescent="0.25">
      <c r="A3" t="s">
        <v>1</v>
      </c>
      <c r="B3">
        <v>2</v>
      </c>
      <c r="C3">
        <v>12127464225.27384</v>
      </c>
      <c r="D3">
        <v>11333519731.70273</v>
      </c>
      <c r="E3">
        <v>12921408718.844959</v>
      </c>
      <c r="F3">
        <v>793944493.57111359</v>
      </c>
    </row>
    <row r="4" spans="1:6" x14ac:dyDescent="0.25">
      <c r="A4" t="s">
        <v>2</v>
      </c>
      <c r="B4">
        <v>1</v>
      </c>
      <c r="C4">
        <v>4557004719.583334</v>
      </c>
      <c r="D4">
        <v>4471108772.5</v>
      </c>
      <c r="E4">
        <v>4642900666.666667</v>
      </c>
      <c r="F4">
        <v>85895947.083333492</v>
      </c>
    </row>
    <row r="5" spans="1:6" x14ac:dyDescent="0.25">
      <c r="A5" t="s">
        <v>2</v>
      </c>
      <c r="B5">
        <v>2</v>
      </c>
      <c r="C5">
        <v>15469007676.25</v>
      </c>
      <c r="D5">
        <v>14820293073.33334</v>
      </c>
      <c r="E5">
        <v>16117722279.16667</v>
      </c>
      <c r="F5">
        <v>648714602.91666603</v>
      </c>
    </row>
    <row r="6" spans="1:6" x14ac:dyDescent="0.25">
      <c r="A6" t="s">
        <v>3</v>
      </c>
      <c r="B6">
        <v>1</v>
      </c>
      <c r="C6">
        <v>4528236671.666667</v>
      </c>
      <c r="D6">
        <v>4528227979.166667</v>
      </c>
      <c r="E6">
        <v>4528245364.166667</v>
      </c>
      <c r="F6">
        <v>8692.5</v>
      </c>
    </row>
    <row r="7" spans="1:6" x14ac:dyDescent="0.25">
      <c r="A7" t="s">
        <v>3</v>
      </c>
      <c r="B7">
        <v>2</v>
      </c>
      <c r="C7">
        <v>27445778928.333328</v>
      </c>
      <c r="D7">
        <v>27445751478.333328</v>
      </c>
      <c r="E7">
        <v>27445806378.333328</v>
      </c>
      <c r="F7">
        <v>27450</v>
      </c>
    </row>
    <row r="8" spans="1:6" x14ac:dyDescent="0.25">
      <c r="A8" t="s">
        <v>4</v>
      </c>
      <c r="B8">
        <v>1</v>
      </c>
      <c r="C8">
        <v>6142380417.5</v>
      </c>
      <c r="D8">
        <v>5509223279.166667</v>
      </c>
      <c r="E8">
        <v>6775537555.833333</v>
      </c>
      <c r="F8">
        <v>633157138.33333302</v>
      </c>
    </row>
    <row r="9" spans="1:6" x14ac:dyDescent="0.25">
      <c r="A9" t="s">
        <v>4</v>
      </c>
      <c r="B9">
        <v>2</v>
      </c>
      <c r="C9">
        <v>21584669559.166672</v>
      </c>
      <c r="D9">
        <v>19420187290</v>
      </c>
      <c r="E9">
        <v>23749151828.33334</v>
      </c>
      <c r="F9">
        <v>2164482269.1666679</v>
      </c>
    </row>
    <row r="10" spans="1:6" x14ac:dyDescent="0.25">
      <c r="A10" t="s">
        <v>5</v>
      </c>
      <c r="B10">
        <v>1</v>
      </c>
      <c r="C10">
        <v>4832343097.916667</v>
      </c>
      <c r="D10">
        <v>4830094371.666667</v>
      </c>
      <c r="E10">
        <v>4834591824.166667</v>
      </c>
      <c r="F10">
        <v>2248726.25</v>
      </c>
    </row>
    <row r="11" spans="1:6" x14ac:dyDescent="0.25">
      <c r="A11" t="s">
        <v>5</v>
      </c>
      <c r="B11">
        <v>2</v>
      </c>
      <c r="C11">
        <v>20734706112.083328</v>
      </c>
      <c r="D11">
        <v>20334717894.16666</v>
      </c>
      <c r="E11">
        <v>21134694330</v>
      </c>
      <c r="F11">
        <v>399988217.91666788</v>
      </c>
    </row>
    <row r="12" spans="1:6" ht="15" customHeight="1" x14ac:dyDescent="0.25">
      <c r="A12" s="1" t="s">
        <v>6</v>
      </c>
      <c r="B12">
        <v>1</v>
      </c>
      <c r="C12">
        <v>7137144755</v>
      </c>
      <c r="D12">
        <v>6232037780</v>
      </c>
      <c r="E12">
        <v>8042251730</v>
      </c>
      <c r="F12">
        <v>905106975</v>
      </c>
    </row>
    <row r="13" spans="1:6" x14ac:dyDescent="0.25">
      <c r="A13" t="s">
        <v>6</v>
      </c>
      <c r="B13">
        <v>2</v>
      </c>
      <c r="C13">
        <v>23987023595</v>
      </c>
      <c r="D13">
        <v>23868195257.5</v>
      </c>
      <c r="E13">
        <v>24105851932.5</v>
      </c>
      <c r="F13">
        <v>118828337.5</v>
      </c>
    </row>
    <row r="14" spans="1:6" x14ac:dyDescent="0.25">
      <c r="A14" t="s">
        <v>7</v>
      </c>
      <c r="B14">
        <v>1</v>
      </c>
      <c r="C14">
        <v>5283490830.416666</v>
      </c>
      <c r="D14">
        <v>5122747402.5</v>
      </c>
      <c r="E14">
        <v>5444234258.333333</v>
      </c>
      <c r="F14">
        <v>160743427.91666651</v>
      </c>
    </row>
    <row r="15" spans="1:6" x14ac:dyDescent="0.25">
      <c r="A15" t="s">
        <v>7</v>
      </c>
      <c r="B15">
        <v>2</v>
      </c>
      <c r="C15">
        <v>23434383677.5</v>
      </c>
      <c r="D15">
        <v>23000002803.33334</v>
      </c>
      <c r="E15">
        <v>23868764551.666672</v>
      </c>
      <c r="F15">
        <v>434380874.16666597</v>
      </c>
    </row>
    <row r="16" spans="1:6" x14ac:dyDescent="0.25">
      <c r="A16" t="s">
        <v>8</v>
      </c>
      <c r="B16">
        <v>1</v>
      </c>
      <c r="C16">
        <v>5770288825</v>
      </c>
      <c r="D16">
        <v>4616942506.666667</v>
      </c>
      <c r="E16">
        <v>6923635143.333333</v>
      </c>
      <c r="F16">
        <v>1153346318.333333</v>
      </c>
    </row>
    <row r="17" spans="1:6" x14ac:dyDescent="0.25">
      <c r="A17" t="s">
        <v>8</v>
      </c>
      <c r="B17">
        <v>2</v>
      </c>
      <c r="C17">
        <v>25011988621.666672</v>
      </c>
      <c r="D17">
        <v>21004137483.33334</v>
      </c>
      <c r="E17">
        <v>29019839760</v>
      </c>
      <c r="F17">
        <v>4007851138.3333321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8379869769.294219</v>
      </c>
      <c r="D21">
        <v>4498392983.6978006</v>
      </c>
      <c r="E21">
        <v>12921408718.844959</v>
      </c>
      <c r="F21">
        <v>3790593670.5240479</v>
      </c>
    </row>
    <row r="22" spans="1:6" x14ac:dyDescent="0.25">
      <c r="A22" t="s">
        <v>2</v>
      </c>
      <c r="C22">
        <v>10013006197.91667</v>
      </c>
      <c r="D22">
        <v>4471108772.5</v>
      </c>
      <c r="E22">
        <v>16117722279.16667</v>
      </c>
      <c r="F22">
        <v>5475587320.6859617</v>
      </c>
    </row>
    <row r="23" spans="1:6" ht="15" customHeight="1" x14ac:dyDescent="0.25">
      <c r="A23" s="1" t="s">
        <v>3</v>
      </c>
      <c r="C23">
        <v>15987007800</v>
      </c>
      <c r="D23">
        <v>4528227979.166667</v>
      </c>
      <c r="E23">
        <v>27445806378.333328</v>
      </c>
      <c r="F23">
        <v>11458771128.351419</v>
      </c>
    </row>
    <row r="24" spans="1:6" x14ac:dyDescent="0.25">
      <c r="A24" t="s">
        <v>4</v>
      </c>
      <c r="C24">
        <v>13863524988.33333</v>
      </c>
      <c r="D24">
        <v>5509223279.166667</v>
      </c>
      <c r="E24">
        <v>23749151828.33334</v>
      </c>
      <c r="F24">
        <v>7884098503.4047327</v>
      </c>
    </row>
    <row r="25" spans="1:6" x14ac:dyDescent="0.25">
      <c r="A25" t="s">
        <v>5</v>
      </c>
      <c r="C25">
        <v>12783524605</v>
      </c>
      <c r="D25">
        <v>4830094371.666667</v>
      </c>
      <c r="E25">
        <v>21134694330</v>
      </c>
      <c r="F25">
        <v>7956210478.249361</v>
      </c>
    </row>
    <row r="26" spans="1:6" x14ac:dyDescent="0.25">
      <c r="A26" t="s">
        <v>6</v>
      </c>
      <c r="C26">
        <v>15562084175</v>
      </c>
      <c r="D26">
        <v>6232037780</v>
      </c>
      <c r="E26">
        <v>24105851932.5</v>
      </c>
      <c r="F26">
        <v>8449631568.0426722</v>
      </c>
    </row>
    <row r="27" spans="1:6" x14ac:dyDescent="0.25">
      <c r="A27" t="s">
        <v>7</v>
      </c>
      <c r="C27">
        <v>14358937253.95833</v>
      </c>
      <c r="D27">
        <v>5122747402.5</v>
      </c>
      <c r="E27">
        <v>23868764551.666672</v>
      </c>
      <c r="F27">
        <v>9081353995.0442047</v>
      </c>
    </row>
    <row r="28" spans="1:6" ht="15" customHeight="1" x14ac:dyDescent="0.25">
      <c r="A28" s="1" t="s">
        <v>8</v>
      </c>
      <c r="C28">
        <v>15391138723.33333</v>
      </c>
      <c r="D28">
        <v>4616942506.666667</v>
      </c>
      <c r="E28">
        <v>29019839760</v>
      </c>
      <c r="F28">
        <v>10062668234.85635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4632275313.3145943</v>
      </c>
      <c r="C33">
        <v>12127464225.27384</v>
      </c>
    </row>
    <row r="34" spans="1:5" x14ac:dyDescent="0.25">
      <c r="A34" t="s">
        <v>2</v>
      </c>
      <c r="B34">
        <v>4557004719.583334</v>
      </c>
      <c r="C34">
        <v>15469007676.25</v>
      </c>
    </row>
    <row r="35" spans="1:5" ht="15" customHeight="1" x14ac:dyDescent="0.25">
      <c r="A35" s="1" t="s">
        <v>3</v>
      </c>
      <c r="B35">
        <v>4528236671.666667</v>
      </c>
      <c r="C35">
        <v>27445778928.333328</v>
      </c>
    </row>
    <row r="36" spans="1:5" ht="15" customHeight="1" x14ac:dyDescent="0.25">
      <c r="A36" s="1" t="s">
        <v>4</v>
      </c>
      <c r="B36">
        <v>6142380417.5</v>
      </c>
      <c r="C36">
        <v>21584669559.166672</v>
      </c>
    </row>
    <row r="37" spans="1:5" x14ac:dyDescent="0.25">
      <c r="A37" t="s">
        <v>5</v>
      </c>
      <c r="B37">
        <v>4832343097.916667</v>
      </c>
      <c r="C37">
        <v>20734706112.083328</v>
      </c>
    </row>
    <row r="38" spans="1:5" x14ac:dyDescent="0.25">
      <c r="A38" t="s">
        <v>6</v>
      </c>
      <c r="B38">
        <v>7137144755</v>
      </c>
      <c r="C38">
        <v>23987023595</v>
      </c>
    </row>
    <row r="39" spans="1:5" ht="15" customHeight="1" x14ac:dyDescent="0.25">
      <c r="A39" s="1" t="s">
        <v>7</v>
      </c>
      <c r="B39">
        <v>5283490830.416666</v>
      </c>
      <c r="C39">
        <v>23434383677.5</v>
      </c>
    </row>
    <row r="40" spans="1:5" x14ac:dyDescent="0.25">
      <c r="A40" t="s">
        <v>8</v>
      </c>
      <c r="B40">
        <v>5770288825</v>
      </c>
      <c r="C40">
        <v>25011988621.666672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4766157642.9313889</v>
      </c>
      <c r="C45">
        <v>4498392983.6978006</v>
      </c>
      <c r="D45">
        <v>11333519731.70273</v>
      </c>
      <c r="E45">
        <v>12921408718.844959</v>
      </c>
    </row>
    <row r="46" spans="1:5" x14ac:dyDescent="0.25">
      <c r="A46" t="s">
        <v>2</v>
      </c>
      <c r="B46">
        <v>4642900666.666667</v>
      </c>
      <c r="C46">
        <v>4471108772.5</v>
      </c>
      <c r="D46">
        <v>16117722279.16667</v>
      </c>
      <c r="E46">
        <v>14820293073.33334</v>
      </c>
    </row>
    <row r="47" spans="1:5" ht="15" customHeight="1" x14ac:dyDescent="0.25">
      <c r="A47" s="1" t="s">
        <v>3</v>
      </c>
      <c r="B47">
        <v>4528227979.166667</v>
      </c>
      <c r="C47">
        <v>4528245364.166667</v>
      </c>
      <c r="D47">
        <v>27445806378.333328</v>
      </c>
      <c r="E47">
        <v>27445751478.333328</v>
      </c>
    </row>
    <row r="48" spans="1:5" x14ac:dyDescent="0.25">
      <c r="A48" t="s">
        <v>4</v>
      </c>
      <c r="B48">
        <v>6775537555.833333</v>
      </c>
      <c r="C48">
        <v>5509223279.166667</v>
      </c>
      <c r="D48">
        <v>23749151828.33334</v>
      </c>
      <c r="E48">
        <v>19420187290</v>
      </c>
    </row>
    <row r="49" spans="1:5" x14ac:dyDescent="0.25">
      <c r="A49" t="s">
        <v>5</v>
      </c>
      <c r="B49">
        <v>4830094371.666667</v>
      </c>
      <c r="C49">
        <v>4834591824.166667</v>
      </c>
      <c r="D49">
        <v>21134694330</v>
      </c>
      <c r="E49">
        <v>20334717894.16666</v>
      </c>
    </row>
    <row r="50" spans="1:5" x14ac:dyDescent="0.25">
      <c r="A50" t="s">
        <v>6</v>
      </c>
      <c r="B50">
        <v>6232037780</v>
      </c>
      <c r="C50">
        <v>8042251730</v>
      </c>
      <c r="D50">
        <v>24105851932.5</v>
      </c>
      <c r="E50">
        <v>23868195257.5</v>
      </c>
    </row>
    <row r="51" spans="1:5" ht="15" customHeight="1" x14ac:dyDescent="0.25">
      <c r="A51" s="1" t="s">
        <v>7</v>
      </c>
      <c r="B51">
        <v>5122747402.5</v>
      </c>
      <c r="C51">
        <v>5444234258.333333</v>
      </c>
      <c r="D51">
        <v>23000002803.33334</v>
      </c>
      <c r="E51">
        <v>23868764551.666672</v>
      </c>
    </row>
    <row r="52" spans="1:5" x14ac:dyDescent="0.25">
      <c r="A52" t="s">
        <v>8</v>
      </c>
      <c r="B52">
        <v>4616942506.666667</v>
      </c>
      <c r="C52">
        <v>6923635143.333333</v>
      </c>
      <c r="D52">
        <v>29019839760</v>
      </c>
      <c r="E52">
        <v>21004137483.33334</v>
      </c>
    </row>
    <row r="57" spans="1:5" x14ac:dyDescent="0.25">
      <c r="A57" t="s">
        <v>20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1" t="s">
        <v>1</v>
      </c>
      <c r="B59">
        <v>4766157642.9313889</v>
      </c>
      <c r="C59">
        <v>11333519731.70273</v>
      </c>
    </row>
    <row r="60" spans="1:5" x14ac:dyDescent="0.25">
      <c r="A60" t="s">
        <v>1</v>
      </c>
      <c r="B60">
        <v>4498392983.6978006</v>
      </c>
      <c r="C60">
        <v>12921408718.844959</v>
      </c>
    </row>
    <row r="61" spans="1:5" x14ac:dyDescent="0.25">
      <c r="A61" t="s">
        <v>2</v>
      </c>
      <c r="B61">
        <v>4642900666.666667</v>
      </c>
      <c r="C61">
        <v>16117722279.16667</v>
      </c>
    </row>
    <row r="62" spans="1:5" x14ac:dyDescent="0.25">
      <c r="A62" t="s">
        <v>2</v>
      </c>
      <c r="B62">
        <v>4471108772.5</v>
      </c>
      <c r="C62">
        <v>14820293073.33334</v>
      </c>
    </row>
    <row r="63" spans="1:5" x14ac:dyDescent="0.25">
      <c r="A63" t="s">
        <v>3</v>
      </c>
      <c r="B63">
        <v>4528227979.166667</v>
      </c>
      <c r="C63">
        <v>27445806378.333328</v>
      </c>
    </row>
    <row r="64" spans="1:5" x14ac:dyDescent="0.25">
      <c r="A64" t="s">
        <v>3</v>
      </c>
      <c r="B64">
        <v>4528245364.166667</v>
      </c>
      <c r="C64">
        <v>27445751478.333328</v>
      </c>
    </row>
    <row r="65" spans="1:3" x14ac:dyDescent="0.25">
      <c r="A65" t="s">
        <v>4</v>
      </c>
      <c r="B65">
        <v>6775537555.833333</v>
      </c>
      <c r="C65">
        <v>23749151828.33334</v>
      </c>
    </row>
    <row r="66" spans="1:3" x14ac:dyDescent="0.25">
      <c r="A66" t="s">
        <v>4</v>
      </c>
      <c r="B66">
        <v>5509223279.166667</v>
      </c>
      <c r="C66">
        <v>19420187290</v>
      </c>
    </row>
    <row r="67" spans="1:3" x14ac:dyDescent="0.25">
      <c r="A67" t="s">
        <v>5</v>
      </c>
      <c r="B67">
        <v>4830094371.666667</v>
      </c>
      <c r="C67">
        <v>21134694330</v>
      </c>
    </row>
    <row r="68" spans="1:3" x14ac:dyDescent="0.25">
      <c r="A68" t="s">
        <v>5</v>
      </c>
      <c r="B68">
        <v>4834591824.166667</v>
      </c>
      <c r="C68">
        <v>20334717894.16666</v>
      </c>
    </row>
    <row r="69" spans="1:3" x14ac:dyDescent="0.25">
      <c r="A69" t="s">
        <v>6</v>
      </c>
      <c r="B69">
        <v>6232037780</v>
      </c>
      <c r="C69">
        <v>24105851932.5</v>
      </c>
    </row>
    <row r="70" spans="1:3" x14ac:dyDescent="0.25">
      <c r="A70" t="s">
        <v>6</v>
      </c>
      <c r="B70">
        <v>8042251730</v>
      </c>
      <c r="C70">
        <v>23868195257.5</v>
      </c>
    </row>
    <row r="71" spans="1:3" x14ac:dyDescent="0.25">
      <c r="A71" t="s">
        <v>7</v>
      </c>
      <c r="B71">
        <v>5122747402.5</v>
      </c>
      <c r="C71">
        <v>23000002803.33334</v>
      </c>
    </row>
    <row r="72" spans="1:3" x14ac:dyDescent="0.25">
      <c r="A72" t="s">
        <v>7</v>
      </c>
      <c r="B72">
        <v>5444234258.333333</v>
      </c>
      <c r="C72">
        <v>23868764551.666672</v>
      </c>
    </row>
    <row r="73" spans="1:3" x14ac:dyDescent="0.25">
      <c r="A73" t="s">
        <v>8</v>
      </c>
      <c r="B73">
        <v>4616942506.666667</v>
      </c>
      <c r="C73">
        <v>29019839760</v>
      </c>
    </row>
    <row r="74" spans="1:3" x14ac:dyDescent="0.25">
      <c r="A74" t="s">
        <v>8</v>
      </c>
      <c r="B74">
        <v>6923635143.333333</v>
      </c>
      <c r="C74">
        <v>21004137483.33334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38" zoomScaleNormal="100" workbookViewId="0">
      <selection activeCell="A58" sqref="A58:C74"/>
    </sheetView>
  </sheetViews>
  <sheetFormatPr defaultColWidth="8.5703125" defaultRowHeight="15" x14ac:dyDescent="0.25"/>
  <cols>
    <col min="1" max="1" width="24" style="7" customWidth="1"/>
    <col min="2" max="2" width="11" style="7" customWidth="1"/>
    <col min="3" max="3" width="13" style="7" customWidth="1"/>
    <col min="4" max="5" width="10" style="7" customWidth="1"/>
    <col min="6" max="6" width="20" style="7" customWidth="1"/>
    <col min="7" max="31" width="8" style="7" customWidth="1"/>
    <col min="32" max="41" width="9" style="7" customWidth="1"/>
    <col min="42" max="44" width="8" style="7" customWidth="1"/>
    <col min="45" max="46" width="9" style="7" customWidth="1"/>
    <col min="47" max="52" width="8" style="7" customWidth="1"/>
    <col min="53" max="53" width="9" style="7" customWidth="1"/>
    <col min="54" max="56" width="8" style="7" customWidth="1"/>
    <col min="57" max="57" width="9" style="7" customWidth="1"/>
    <col min="58" max="58" width="8" style="7" customWidth="1"/>
    <col min="59" max="59" width="9" style="7" customWidth="1"/>
    <col min="60" max="60" width="8" style="7" customWidth="1"/>
    <col min="61" max="61" width="9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4924963</v>
      </c>
      <c r="D2">
        <v>4743314</v>
      </c>
      <c r="E2">
        <v>5106612</v>
      </c>
      <c r="F2">
        <v>181649</v>
      </c>
    </row>
    <row r="3" spans="1:6" x14ac:dyDescent="0.25">
      <c r="A3" t="s">
        <v>1</v>
      </c>
      <c r="B3">
        <v>2</v>
      </c>
      <c r="C3">
        <v>13682956</v>
      </c>
      <c r="D3">
        <v>12692841</v>
      </c>
      <c r="E3">
        <v>14673071</v>
      </c>
      <c r="F3">
        <v>990115</v>
      </c>
    </row>
    <row r="4" spans="1:6" x14ac:dyDescent="0.25">
      <c r="A4" t="s">
        <v>2</v>
      </c>
      <c r="B4">
        <v>1</v>
      </c>
      <c r="C4">
        <v>4774479</v>
      </c>
      <c r="D4">
        <v>4739047</v>
      </c>
      <c r="E4">
        <v>4809911</v>
      </c>
      <c r="F4">
        <v>35432</v>
      </c>
    </row>
    <row r="5" spans="1:6" x14ac:dyDescent="0.25">
      <c r="A5" t="s">
        <v>2</v>
      </c>
      <c r="B5">
        <v>2</v>
      </c>
      <c r="C5">
        <v>14641150</v>
      </c>
      <c r="D5">
        <v>13915913</v>
      </c>
      <c r="E5">
        <v>15366387</v>
      </c>
      <c r="F5">
        <v>725237</v>
      </c>
    </row>
    <row r="6" spans="1:6" x14ac:dyDescent="0.25">
      <c r="A6" t="s">
        <v>3</v>
      </c>
      <c r="B6">
        <v>1</v>
      </c>
      <c r="C6">
        <v>4475444.5</v>
      </c>
      <c r="D6">
        <v>4475435</v>
      </c>
      <c r="E6">
        <v>4475454</v>
      </c>
      <c r="F6">
        <v>9.5</v>
      </c>
    </row>
    <row r="7" spans="1:6" x14ac:dyDescent="0.25">
      <c r="A7" t="s">
        <v>3</v>
      </c>
      <c r="B7">
        <v>2</v>
      </c>
      <c r="C7">
        <v>27083949</v>
      </c>
      <c r="D7">
        <v>27083919</v>
      </c>
      <c r="E7">
        <v>27083979</v>
      </c>
      <c r="F7">
        <v>30</v>
      </c>
    </row>
    <row r="8" spans="1:6" x14ac:dyDescent="0.25">
      <c r="A8" t="s">
        <v>4</v>
      </c>
      <c r="B8">
        <v>1</v>
      </c>
      <c r="C8">
        <v>6506424.5</v>
      </c>
      <c r="D8">
        <v>5777195</v>
      </c>
      <c r="E8">
        <v>7235654</v>
      </c>
      <c r="F8">
        <v>729229.5</v>
      </c>
    </row>
    <row r="9" spans="1:6" x14ac:dyDescent="0.25">
      <c r="A9" t="s">
        <v>4</v>
      </c>
      <c r="B9">
        <v>2</v>
      </c>
      <c r="C9">
        <v>21278783.5</v>
      </c>
      <c r="D9">
        <v>18951480</v>
      </c>
      <c r="E9">
        <v>23606087</v>
      </c>
      <c r="F9">
        <v>2327303.5</v>
      </c>
    </row>
    <row r="10" spans="1:6" x14ac:dyDescent="0.25">
      <c r="A10" t="s">
        <v>5</v>
      </c>
      <c r="B10">
        <v>1</v>
      </c>
      <c r="C10">
        <v>5035398.5</v>
      </c>
      <c r="D10">
        <v>5035374</v>
      </c>
      <c r="E10">
        <v>5035423</v>
      </c>
      <c r="F10">
        <v>24.5</v>
      </c>
    </row>
    <row r="11" spans="1:6" x14ac:dyDescent="0.25">
      <c r="A11" t="s">
        <v>5</v>
      </c>
      <c r="B11">
        <v>2</v>
      </c>
      <c r="C11">
        <v>20188805</v>
      </c>
      <c r="D11">
        <v>19682698</v>
      </c>
      <c r="E11">
        <v>20694912</v>
      </c>
      <c r="F11">
        <v>506107</v>
      </c>
    </row>
    <row r="12" spans="1:6" ht="15" customHeight="1" x14ac:dyDescent="0.25">
      <c r="A12" s="1" t="s">
        <v>6</v>
      </c>
      <c r="B12">
        <v>1</v>
      </c>
      <c r="C12">
        <v>7541498.5</v>
      </c>
      <c r="D12">
        <v>6544116</v>
      </c>
      <c r="E12">
        <v>8538881</v>
      </c>
      <c r="F12">
        <v>997382.5</v>
      </c>
    </row>
    <row r="13" spans="1:6" x14ac:dyDescent="0.25">
      <c r="A13" t="s">
        <v>6</v>
      </c>
      <c r="B13">
        <v>2</v>
      </c>
      <c r="C13">
        <v>23674760</v>
      </c>
      <c r="D13">
        <v>23508123</v>
      </c>
      <c r="E13">
        <v>23841397</v>
      </c>
      <c r="F13">
        <v>166637</v>
      </c>
    </row>
    <row r="14" spans="1:6" x14ac:dyDescent="0.25">
      <c r="A14" t="s">
        <v>7</v>
      </c>
      <c r="B14">
        <v>1</v>
      </c>
      <c r="C14">
        <v>5521605</v>
      </c>
      <c r="D14">
        <v>5369818</v>
      </c>
      <c r="E14">
        <v>5673392</v>
      </c>
      <c r="F14">
        <v>151787</v>
      </c>
    </row>
    <row r="15" spans="1:6" x14ac:dyDescent="0.25">
      <c r="A15" t="s">
        <v>7</v>
      </c>
      <c r="B15">
        <v>2</v>
      </c>
      <c r="C15">
        <v>23116812</v>
      </c>
      <c r="D15">
        <v>22597679</v>
      </c>
      <c r="E15">
        <v>23635945</v>
      </c>
      <c r="F15">
        <v>519133</v>
      </c>
    </row>
    <row r="16" spans="1:6" x14ac:dyDescent="0.25">
      <c r="A16" t="s">
        <v>8</v>
      </c>
      <c r="B16">
        <v>1</v>
      </c>
      <c r="C16">
        <v>6053119</v>
      </c>
      <c r="D16">
        <v>4739682</v>
      </c>
      <c r="E16">
        <v>7366556</v>
      </c>
      <c r="F16">
        <v>1313437</v>
      </c>
    </row>
    <row r="17" spans="1:6" x14ac:dyDescent="0.25">
      <c r="A17" t="s">
        <v>8</v>
      </c>
      <c r="B17">
        <v>2</v>
      </c>
      <c r="C17">
        <v>25079844</v>
      </c>
      <c r="D17">
        <v>20789860</v>
      </c>
      <c r="E17">
        <v>29369828</v>
      </c>
      <c r="F17">
        <v>4289984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9303959.5</v>
      </c>
      <c r="D21">
        <v>4743314</v>
      </c>
      <c r="E21">
        <v>14673071</v>
      </c>
      <c r="F21">
        <v>4436470.7125400081</v>
      </c>
    </row>
    <row r="22" spans="1:6" x14ac:dyDescent="0.25">
      <c r="A22" t="s">
        <v>2</v>
      </c>
      <c r="C22">
        <v>9707814.5</v>
      </c>
      <c r="D22">
        <v>4739047</v>
      </c>
      <c r="E22">
        <v>15366387</v>
      </c>
      <c r="F22">
        <v>4959980.9699188108</v>
      </c>
    </row>
    <row r="23" spans="1:6" ht="15" customHeight="1" x14ac:dyDescent="0.25">
      <c r="A23" s="1" t="s">
        <v>3</v>
      </c>
      <c r="C23">
        <v>15779696.75</v>
      </c>
      <c r="D23">
        <v>4475435</v>
      </c>
      <c r="E23">
        <v>27083979</v>
      </c>
      <c r="F23">
        <v>11304252.250021899</v>
      </c>
    </row>
    <row r="24" spans="1:6" x14ac:dyDescent="0.25">
      <c r="A24" t="s">
        <v>4</v>
      </c>
      <c r="C24">
        <v>13892604</v>
      </c>
      <c r="D24">
        <v>5777195</v>
      </c>
      <c r="E24">
        <v>23606087</v>
      </c>
      <c r="F24">
        <v>7584833.9618353872</v>
      </c>
    </row>
    <row r="25" spans="1:6" x14ac:dyDescent="0.25">
      <c r="A25" t="s">
        <v>5</v>
      </c>
      <c r="C25">
        <v>12612101.75</v>
      </c>
      <c r="D25">
        <v>5035374</v>
      </c>
      <c r="E25">
        <v>20694912</v>
      </c>
      <c r="F25">
        <v>7585150.2481219964</v>
      </c>
    </row>
    <row r="26" spans="1:6" x14ac:dyDescent="0.25">
      <c r="A26" t="s">
        <v>6</v>
      </c>
      <c r="C26">
        <v>15608129.25</v>
      </c>
      <c r="D26">
        <v>6544116</v>
      </c>
      <c r="E26">
        <v>23841397</v>
      </c>
      <c r="F26">
        <v>8098259.1664741868</v>
      </c>
    </row>
    <row r="27" spans="1:6" x14ac:dyDescent="0.25">
      <c r="A27" t="s">
        <v>7</v>
      </c>
      <c r="C27">
        <v>14319208.5</v>
      </c>
      <c r="D27">
        <v>5369818</v>
      </c>
      <c r="E27">
        <v>23635945</v>
      </c>
      <c r="F27">
        <v>8805912.5890359171</v>
      </c>
    </row>
    <row r="28" spans="1:6" ht="15" customHeight="1" x14ac:dyDescent="0.25">
      <c r="A28" s="1" t="s">
        <v>8</v>
      </c>
      <c r="C28">
        <v>15566481.5</v>
      </c>
      <c r="D28">
        <v>4739682</v>
      </c>
      <c r="E28">
        <v>29369828</v>
      </c>
      <c r="F28">
        <v>10028389.99007412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4924963</v>
      </c>
      <c r="C33">
        <v>13682956</v>
      </c>
    </row>
    <row r="34" spans="1:5" x14ac:dyDescent="0.25">
      <c r="A34" t="s">
        <v>2</v>
      </c>
      <c r="B34">
        <v>4774479</v>
      </c>
      <c r="C34">
        <v>14641150</v>
      </c>
    </row>
    <row r="35" spans="1:5" ht="15" customHeight="1" x14ac:dyDescent="0.25">
      <c r="A35" s="1" t="s">
        <v>3</v>
      </c>
      <c r="B35">
        <v>4475444.5</v>
      </c>
      <c r="C35">
        <v>27083949</v>
      </c>
    </row>
    <row r="36" spans="1:5" ht="15" customHeight="1" x14ac:dyDescent="0.25">
      <c r="A36" s="1" t="s">
        <v>4</v>
      </c>
      <c r="B36">
        <v>6506424.5</v>
      </c>
      <c r="C36">
        <v>21278783.5</v>
      </c>
    </row>
    <row r="37" spans="1:5" x14ac:dyDescent="0.25">
      <c r="A37" t="s">
        <v>5</v>
      </c>
      <c r="B37">
        <v>5035398.5</v>
      </c>
      <c r="C37">
        <v>20188805</v>
      </c>
    </row>
    <row r="38" spans="1:5" x14ac:dyDescent="0.25">
      <c r="A38" t="s">
        <v>6</v>
      </c>
      <c r="B38">
        <v>7541498.5</v>
      </c>
      <c r="C38">
        <v>23674760</v>
      </c>
    </row>
    <row r="39" spans="1:5" ht="15" customHeight="1" x14ac:dyDescent="0.25">
      <c r="A39" s="1" t="s">
        <v>7</v>
      </c>
      <c r="B39">
        <v>5521605</v>
      </c>
      <c r="C39">
        <v>23116812</v>
      </c>
    </row>
    <row r="40" spans="1:5" x14ac:dyDescent="0.25">
      <c r="A40" t="s">
        <v>8</v>
      </c>
      <c r="B40">
        <v>6053119</v>
      </c>
      <c r="C40">
        <v>25079844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5106612</v>
      </c>
      <c r="C45">
        <v>4743314</v>
      </c>
      <c r="D45">
        <v>12692841</v>
      </c>
      <c r="E45">
        <v>14673071</v>
      </c>
    </row>
    <row r="46" spans="1:5" x14ac:dyDescent="0.25">
      <c r="A46" t="s">
        <v>2</v>
      </c>
      <c r="B46">
        <v>4809911</v>
      </c>
      <c r="C46">
        <v>4739047</v>
      </c>
      <c r="D46">
        <v>15366387</v>
      </c>
      <c r="E46">
        <v>13915913</v>
      </c>
    </row>
    <row r="47" spans="1:5" ht="15" customHeight="1" x14ac:dyDescent="0.25">
      <c r="A47" s="1" t="s">
        <v>3</v>
      </c>
      <c r="B47">
        <v>4475435</v>
      </c>
      <c r="C47">
        <v>4475454</v>
      </c>
      <c r="D47">
        <v>27083979</v>
      </c>
      <c r="E47">
        <v>27083919</v>
      </c>
    </row>
    <row r="48" spans="1:5" x14ac:dyDescent="0.25">
      <c r="A48" t="s">
        <v>4</v>
      </c>
      <c r="B48">
        <v>7235654</v>
      </c>
      <c r="C48">
        <v>5777195</v>
      </c>
      <c r="D48">
        <v>23606087</v>
      </c>
      <c r="E48">
        <v>18951480</v>
      </c>
    </row>
    <row r="49" spans="1:5" x14ac:dyDescent="0.25">
      <c r="A49" t="s">
        <v>5</v>
      </c>
      <c r="B49">
        <v>5035374</v>
      </c>
      <c r="C49">
        <v>5035423</v>
      </c>
      <c r="D49">
        <v>20694912</v>
      </c>
      <c r="E49">
        <v>19682698</v>
      </c>
    </row>
    <row r="50" spans="1:5" x14ac:dyDescent="0.25">
      <c r="A50" t="s">
        <v>6</v>
      </c>
      <c r="B50">
        <v>6544116</v>
      </c>
      <c r="C50">
        <v>8538881</v>
      </c>
      <c r="D50">
        <v>23841397</v>
      </c>
      <c r="E50">
        <v>23508123</v>
      </c>
    </row>
    <row r="51" spans="1:5" ht="15" customHeight="1" x14ac:dyDescent="0.25">
      <c r="A51" s="1" t="s">
        <v>7</v>
      </c>
      <c r="B51">
        <v>5369818</v>
      </c>
      <c r="C51">
        <v>5673392</v>
      </c>
      <c r="D51">
        <v>22597679</v>
      </c>
      <c r="E51">
        <v>23635945</v>
      </c>
    </row>
    <row r="52" spans="1:5" x14ac:dyDescent="0.25">
      <c r="A52" t="s">
        <v>8</v>
      </c>
      <c r="B52">
        <v>4739682</v>
      </c>
      <c r="C52">
        <v>7366556</v>
      </c>
      <c r="D52">
        <v>29369828</v>
      </c>
      <c r="E52">
        <v>20789860</v>
      </c>
    </row>
    <row r="57" spans="1:5" x14ac:dyDescent="0.25">
      <c r="A57" t="s">
        <v>20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1" t="s">
        <v>1</v>
      </c>
      <c r="B59">
        <v>5106612</v>
      </c>
      <c r="C59">
        <v>12692841</v>
      </c>
    </row>
    <row r="60" spans="1:5" x14ac:dyDescent="0.25">
      <c r="A60" t="s">
        <v>1</v>
      </c>
      <c r="B60">
        <v>4743314</v>
      </c>
      <c r="C60">
        <v>14673071</v>
      </c>
    </row>
    <row r="61" spans="1:5" x14ac:dyDescent="0.25">
      <c r="A61" t="s">
        <v>2</v>
      </c>
      <c r="B61">
        <v>4809911</v>
      </c>
      <c r="C61">
        <v>15366387</v>
      </c>
    </row>
    <row r="62" spans="1:5" x14ac:dyDescent="0.25">
      <c r="A62" t="s">
        <v>2</v>
      </c>
      <c r="B62">
        <v>4739047</v>
      </c>
      <c r="C62">
        <v>13915913</v>
      </c>
    </row>
    <row r="63" spans="1:5" x14ac:dyDescent="0.25">
      <c r="A63" t="s">
        <v>3</v>
      </c>
      <c r="B63">
        <v>4475435</v>
      </c>
      <c r="C63">
        <v>27083979</v>
      </c>
    </row>
    <row r="64" spans="1:5" x14ac:dyDescent="0.25">
      <c r="A64" t="s">
        <v>3</v>
      </c>
      <c r="B64">
        <v>4475454</v>
      </c>
      <c r="C64">
        <v>27083919</v>
      </c>
    </row>
    <row r="65" spans="1:3" x14ac:dyDescent="0.25">
      <c r="A65" t="s">
        <v>4</v>
      </c>
      <c r="B65">
        <v>7235654</v>
      </c>
      <c r="C65">
        <v>23606087</v>
      </c>
    </row>
    <row r="66" spans="1:3" x14ac:dyDescent="0.25">
      <c r="A66" t="s">
        <v>4</v>
      </c>
      <c r="B66">
        <v>5777195</v>
      </c>
      <c r="C66">
        <v>18951480</v>
      </c>
    </row>
    <row r="67" spans="1:3" x14ac:dyDescent="0.25">
      <c r="A67" t="s">
        <v>5</v>
      </c>
      <c r="B67">
        <v>5035374</v>
      </c>
      <c r="C67">
        <v>20694912</v>
      </c>
    </row>
    <row r="68" spans="1:3" x14ac:dyDescent="0.25">
      <c r="A68" t="s">
        <v>5</v>
      </c>
      <c r="B68">
        <v>5035423</v>
      </c>
      <c r="C68">
        <v>19682698</v>
      </c>
    </row>
    <row r="69" spans="1:3" x14ac:dyDescent="0.25">
      <c r="A69" t="s">
        <v>6</v>
      </c>
      <c r="B69">
        <v>6544116</v>
      </c>
      <c r="C69">
        <v>23841397</v>
      </c>
    </row>
    <row r="70" spans="1:3" x14ac:dyDescent="0.25">
      <c r="A70" t="s">
        <v>6</v>
      </c>
      <c r="B70">
        <v>8538881</v>
      </c>
      <c r="C70">
        <v>23508123</v>
      </c>
    </row>
    <row r="71" spans="1:3" x14ac:dyDescent="0.25">
      <c r="A71" t="s">
        <v>7</v>
      </c>
      <c r="B71">
        <v>5369818</v>
      </c>
      <c r="C71">
        <v>22597679</v>
      </c>
    </row>
    <row r="72" spans="1:3" x14ac:dyDescent="0.25">
      <c r="A72" t="s">
        <v>7</v>
      </c>
      <c r="B72">
        <v>5673392</v>
      </c>
      <c r="C72">
        <v>23635945</v>
      </c>
    </row>
    <row r="73" spans="1:3" x14ac:dyDescent="0.25">
      <c r="A73" t="s">
        <v>8</v>
      </c>
      <c r="B73">
        <v>4739682</v>
      </c>
      <c r="C73">
        <v>29369828</v>
      </c>
    </row>
    <row r="74" spans="1:3" x14ac:dyDescent="0.25">
      <c r="A74" t="s">
        <v>8</v>
      </c>
      <c r="B74">
        <v>7366556</v>
      </c>
      <c r="C74">
        <v>20789860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8"/>
  <sheetViews>
    <sheetView zoomScaleNormal="100" workbookViewId="0"/>
  </sheetViews>
  <sheetFormatPr defaultColWidth="8.5703125" defaultRowHeight="15" x14ac:dyDescent="0.25"/>
  <cols>
    <col min="1" max="1" width="24" style="7" customWidth="1"/>
    <col min="2" max="2" width="6" style="7" customWidth="1"/>
    <col min="3" max="3" width="9" style="7" customWidth="1"/>
    <col min="4" max="5" width="6" style="7" customWidth="1"/>
    <col min="6" max="6" width="20" style="7" customWidth="1"/>
    <col min="7" max="61" width="2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 customHeight="1" x14ac:dyDescent="0.25">
      <c r="A2" t="s">
        <v>1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1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2</v>
      </c>
      <c r="B4">
        <v>1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2</v>
      </c>
      <c r="B5">
        <v>2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3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3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4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4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5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5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6</v>
      </c>
      <c r="B12">
        <v>1</v>
      </c>
      <c r="C12">
        <v>0.5</v>
      </c>
      <c r="D12" s="2" t="b">
        <v>0</v>
      </c>
      <c r="E12" s="2" t="b">
        <v>1</v>
      </c>
      <c r="F12">
        <v>0.5</v>
      </c>
    </row>
    <row r="13" spans="1:6" ht="15" customHeight="1" x14ac:dyDescent="0.25">
      <c r="A13" t="s">
        <v>6</v>
      </c>
      <c r="B13">
        <v>2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7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7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8</v>
      </c>
      <c r="B16">
        <v>1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8</v>
      </c>
      <c r="B17">
        <v>2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D18" s="2"/>
      <c r="E18" s="2"/>
    </row>
    <row r="19" spans="1:6" ht="15" customHeight="1" x14ac:dyDescent="0.25">
      <c r="D19" s="2"/>
      <c r="E19" s="2"/>
    </row>
    <row r="20" spans="1:6" ht="15" customHeight="1" x14ac:dyDescent="0.25">
      <c r="A20" s="4" t="s">
        <v>17</v>
      </c>
      <c r="D20" s="2"/>
      <c r="E20" s="2"/>
    </row>
    <row r="21" spans="1:6" ht="15" customHeight="1" x14ac:dyDescent="0.25">
      <c r="A21" t="s">
        <v>1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2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3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4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5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6</v>
      </c>
      <c r="C26">
        <v>0.75</v>
      </c>
      <c r="D26" s="2" t="b">
        <v>0</v>
      </c>
      <c r="E26" s="2" t="b">
        <v>1</v>
      </c>
      <c r="F26">
        <v>0.4330127018922193</v>
      </c>
    </row>
    <row r="27" spans="1:6" ht="15" customHeight="1" x14ac:dyDescent="0.25">
      <c r="A27" t="s">
        <v>7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8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D29" s="2"/>
      <c r="E29" s="2"/>
    </row>
    <row r="30" spans="1:6" ht="15" customHeight="1" x14ac:dyDescent="0.25">
      <c r="D30" s="2"/>
      <c r="E30" s="2"/>
    </row>
    <row r="31" spans="1:6" ht="15" customHeight="1" x14ac:dyDescent="0.25">
      <c r="A31" s="4" t="s">
        <v>18</v>
      </c>
      <c r="D31" s="2"/>
      <c r="E31" s="2"/>
    </row>
    <row r="32" spans="1:6" ht="15" customHeight="1" x14ac:dyDescent="0.25">
      <c r="A32" t="s">
        <v>19</v>
      </c>
      <c r="B32">
        <v>1</v>
      </c>
      <c r="C32">
        <v>2</v>
      </c>
      <c r="D32" s="2"/>
      <c r="E32" s="2"/>
    </row>
    <row r="33" spans="1:11" ht="15" customHeight="1" x14ac:dyDescent="0.25">
      <c r="A33" t="s">
        <v>1</v>
      </c>
      <c r="B33">
        <v>1</v>
      </c>
      <c r="C33">
        <v>1</v>
      </c>
      <c r="D33" s="2"/>
      <c r="E33" s="2"/>
    </row>
    <row r="34" spans="1:11" ht="15" customHeight="1" x14ac:dyDescent="0.25">
      <c r="A34" t="s">
        <v>2</v>
      </c>
      <c r="B34">
        <v>1</v>
      </c>
      <c r="C34">
        <v>1</v>
      </c>
      <c r="D34" s="2"/>
      <c r="E34" s="2"/>
    </row>
    <row r="35" spans="1:11" ht="15" customHeight="1" x14ac:dyDescent="0.25">
      <c r="A35" s="1" t="s">
        <v>3</v>
      </c>
      <c r="B35">
        <v>1</v>
      </c>
      <c r="C35">
        <v>1</v>
      </c>
      <c r="D35" s="2"/>
      <c r="E35" s="2"/>
    </row>
    <row r="36" spans="1:11" ht="15" customHeight="1" x14ac:dyDescent="0.25">
      <c r="A36" s="1" t="s">
        <v>4</v>
      </c>
      <c r="B36">
        <v>1</v>
      </c>
      <c r="C36">
        <v>1</v>
      </c>
      <c r="D36" s="2"/>
      <c r="E36" s="2"/>
    </row>
    <row r="37" spans="1:11" ht="15" customHeight="1" x14ac:dyDescent="0.25">
      <c r="A37" t="s">
        <v>5</v>
      </c>
      <c r="B37">
        <v>1</v>
      </c>
      <c r="C37">
        <v>1</v>
      </c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A38" t="s">
        <v>6</v>
      </c>
      <c r="B38">
        <v>0.5</v>
      </c>
      <c r="C38">
        <v>1</v>
      </c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1" t="s">
        <v>7</v>
      </c>
      <c r="B39">
        <v>1</v>
      </c>
      <c r="C39">
        <v>1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8</v>
      </c>
      <c r="B40">
        <v>1</v>
      </c>
      <c r="C40">
        <v>1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E41" s="2"/>
      <c r="F41" s="2"/>
      <c r="G41" s="2"/>
      <c r="H41" s="2"/>
      <c r="I41" s="2"/>
      <c r="J41" s="2"/>
      <c r="K41" s="2"/>
    </row>
    <row r="42" spans="1:11" ht="15" customHeight="1" x14ac:dyDescent="0.25"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4" t="s">
        <v>20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1</v>
      </c>
      <c r="B45" t="b">
        <v>1</v>
      </c>
      <c r="C45" t="b">
        <v>1</v>
      </c>
      <c r="D45" t="b">
        <v>1</v>
      </c>
      <c r="E45" s="2" t="b">
        <v>1</v>
      </c>
      <c r="F45" s="2"/>
      <c r="G45" s="2"/>
      <c r="H45" s="2"/>
      <c r="I45" s="2"/>
      <c r="J45" s="2"/>
      <c r="K45" s="2"/>
    </row>
    <row r="46" spans="1:11" ht="15" customHeight="1" x14ac:dyDescent="0.25">
      <c r="A46" t="s">
        <v>2</v>
      </c>
      <c r="B46" t="b">
        <v>1</v>
      </c>
      <c r="C46" t="b">
        <v>1</v>
      </c>
      <c r="D46" t="b">
        <v>1</v>
      </c>
      <c r="E46" s="2" t="b">
        <v>1</v>
      </c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3</v>
      </c>
      <c r="B47" t="b">
        <v>1</v>
      </c>
      <c r="C47" t="b">
        <v>1</v>
      </c>
      <c r="D47" t="b">
        <v>1</v>
      </c>
      <c r="E47" s="2" t="b">
        <v>1</v>
      </c>
      <c r="F47" s="2"/>
      <c r="G47" s="2"/>
      <c r="H47" s="2"/>
      <c r="I47" s="2"/>
      <c r="J47" s="2"/>
      <c r="K47" s="2"/>
    </row>
    <row r="48" spans="1:11" ht="15" customHeight="1" x14ac:dyDescent="0.25">
      <c r="A48" t="s">
        <v>4</v>
      </c>
      <c r="B48" t="b">
        <v>1</v>
      </c>
      <c r="C48" t="b">
        <v>1</v>
      </c>
      <c r="D48" t="b">
        <v>1</v>
      </c>
      <c r="E48" s="2" t="b">
        <v>1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5</v>
      </c>
      <c r="B49" s="2" t="b">
        <v>1</v>
      </c>
      <c r="C49" s="2" t="b">
        <v>1</v>
      </c>
      <c r="D49" s="2" t="b">
        <v>1</v>
      </c>
      <c r="E49" s="2" t="b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6</v>
      </c>
      <c r="B50" s="2" t="b">
        <v>1</v>
      </c>
      <c r="C50" s="2" t="b">
        <v>0</v>
      </c>
      <c r="D50" s="2" t="b">
        <v>1</v>
      </c>
      <c r="E50" s="2" t="b">
        <v>1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7</v>
      </c>
      <c r="B51" s="2" t="b">
        <v>1</v>
      </c>
      <c r="C51" s="2" t="b">
        <v>1</v>
      </c>
      <c r="D51" s="2" t="b">
        <v>1</v>
      </c>
      <c r="E51" s="2" t="b">
        <v>1</v>
      </c>
      <c r="F51" s="2"/>
      <c r="G51" s="2"/>
      <c r="H51" s="2"/>
      <c r="I51" s="2"/>
      <c r="J51" s="2"/>
      <c r="K51" s="2"/>
    </row>
    <row r="52" spans="1:61" x14ac:dyDescent="0.25">
      <c r="A52" t="s">
        <v>8</v>
      </c>
      <c r="B52" t="b">
        <v>1</v>
      </c>
      <c r="C52" t="b">
        <v>1</v>
      </c>
      <c r="D52" t="b">
        <v>1</v>
      </c>
      <c r="E52" t="b">
        <v>1</v>
      </c>
    </row>
    <row r="53" spans="1:61" ht="1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59"/>
  <sheetViews>
    <sheetView zoomScaleNormal="100" workbookViewId="0"/>
  </sheetViews>
  <sheetFormatPr defaultColWidth="8.5703125" defaultRowHeight="15" x14ac:dyDescent="0.25"/>
  <cols>
    <col min="1" max="1" width="24" style="7" customWidth="1"/>
    <col min="2" max="3" width="20" style="7" customWidth="1"/>
    <col min="4" max="5" width="12" style="7" customWidth="1"/>
    <col min="6" max="6" width="20" style="7" customWidth="1"/>
    <col min="7" max="21" width="10" style="7" customWidth="1"/>
    <col min="22" max="31" width="11" style="7" customWidth="1"/>
    <col min="32" max="33" width="12" style="7" customWidth="1"/>
    <col min="34" max="34" width="11" style="7" customWidth="1"/>
    <col min="35" max="35" width="12" style="7" customWidth="1"/>
    <col min="36" max="37" width="11" style="7" customWidth="1"/>
    <col min="38" max="38" width="12" style="7" customWidth="1"/>
    <col min="39" max="39" width="11" style="7" customWidth="1"/>
    <col min="40" max="41" width="12" style="7" customWidth="1"/>
    <col min="42" max="61" width="10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447163.85</v>
      </c>
      <c r="D2">
        <v>436388.14</v>
      </c>
      <c r="E2">
        <v>457939.56</v>
      </c>
      <c r="F2">
        <v>10775.70999999999</v>
      </c>
    </row>
    <row r="3" spans="1:6" x14ac:dyDescent="0.25">
      <c r="A3" t="s">
        <v>1</v>
      </c>
      <c r="B3">
        <v>2</v>
      </c>
      <c r="C3">
        <v>5173595.8900000006</v>
      </c>
      <c r="D3">
        <v>5110287.3600000003</v>
      </c>
      <c r="E3">
        <v>5236904.42</v>
      </c>
      <c r="F3">
        <v>63308.529999999802</v>
      </c>
    </row>
    <row r="4" spans="1:6" x14ac:dyDescent="0.25">
      <c r="A4" t="s">
        <v>2</v>
      </c>
      <c r="B4">
        <v>1</v>
      </c>
      <c r="C4">
        <v>360387.88</v>
      </c>
      <c r="D4">
        <v>336481.64</v>
      </c>
      <c r="E4">
        <v>384294.12</v>
      </c>
      <c r="F4">
        <v>23906.239999999991</v>
      </c>
    </row>
    <row r="5" spans="1:6" x14ac:dyDescent="0.25">
      <c r="A5" t="s">
        <v>2</v>
      </c>
      <c r="B5">
        <v>2</v>
      </c>
      <c r="C5">
        <v>3442414.87</v>
      </c>
      <c r="D5">
        <v>3389890.14</v>
      </c>
      <c r="E5">
        <v>3494939.6</v>
      </c>
      <c r="F5">
        <v>52524.729999999981</v>
      </c>
    </row>
    <row r="6" spans="1:6" x14ac:dyDescent="0.25">
      <c r="A6" t="s">
        <v>3</v>
      </c>
      <c r="B6">
        <v>1</v>
      </c>
      <c r="C6">
        <v>347808.16</v>
      </c>
      <c r="D6">
        <v>347808.16</v>
      </c>
      <c r="E6">
        <v>347808.16</v>
      </c>
      <c r="F6">
        <v>0</v>
      </c>
    </row>
    <row r="7" spans="1:6" x14ac:dyDescent="0.25">
      <c r="A7" t="s">
        <v>3</v>
      </c>
      <c r="B7">
        <v>2</v>
      </c>
      <c r="C7">
        <v>3389692.56</v>
      </c>
      <c r="D7">
        <v>3389692.56</v>
      </c>
      <c r="E7">
        <v>3389692.56</v>
      </c>
      <c r="F7">
        <v>0</v>
      </c>
    </row>
    <row r="8" spans="1:6" x14ac:dyDescent="0.25">
      <c r="A8" t="s">
        <v>4</v>
      </c>
      <c r="B8">
        <v>1</v>
      </c>
      <c r="C8">
        <v>387194.57</v>
      </c>
      <c r="D8">
        <v>386548.08</v>
      </c>
      <c r="E8">
        <v>387841.06</v>
      </c>
      <c r="F8">
        <v>646.48999999999069</v>
      </c>
    </row>
    <row r="9" spans="1:6" x14ac:dyDescent="0.25">
      <c r="A9" t="s">
        <v>4</v>
      </c>
      <c r="B9">
        <v>2</v>
      </c>
      <c r="C9">
        <v>3422326.78</v>
      </c>
      <c r="D9">
        <v>3374825.14</v>
      </c>
      <c r="E9">
        <v>3469828.42</v>
      </c>
      <c r="F9">
        <v>47501.639999999898</v>
      </c>
    </row>
    <row r="10" spans="1:6" x14ac:dyDescent="0.25">
      <c r="A10" t="s">
        <v>5</v>
      </c>
      <c r="B10">
        <v>1</v>
      </c>
      <c r="C10">
        <v>371106.75</v>
      </c>
      <c r="D10">
        <v>355081.76</v>
      </c>
      <c r="E10">
        <v>387131.74</v>
      </c>
      <c r="F10">
        <v>16024.989999999991</v>
      </c>
    </row>
    <row r="11" spans="1:6" x14ac:dyDescent="0.25">
      <c r="A11" t="s">
        <v>5</v>
      </c>
      <c r="B11">
        <v>2</v>
      </c>
      <c r="C11">
        <v>3423867.32</v>
      </c>
      <c r="D11">
        <v>3405882.2</v>
      </c>
      <c r="E11">
        <v>3441852.44</v>
      </c>
      <c r="F11">
        <v>17985.119999999879</v>
      </c>
    </row>
    <row r="12" spans="1:6" ht="15" customHeight="1" x14ac:dyDescent="0.25">
      <c r="A12" s="1" t="s">
        <v>6</v>
      </c>
      <c r="B12">
        <v>1</v>
      </c>
      <c r="C12">
        <v>385276.67</v>
      </c>
      <c r="D12">
        <v>383848.44</v>
      </c>
      <c r="E12">
        <v>386704.9</v>
      </c>
      <c r="F12">
        <v>1428.23000000001</v>
      </c>
    </row>
    <row r="13" spans="1:6" x14ac:dyDescent="0.25">
      <c r="A13" t="s">
        <v>6</v>
      </c>
      <c r="B13">
        <v>2</v>
      </c>
      <c r="C13">
        <v>3445783.72</v>
      </c>
      <c r="D13">
        <v>3443775.94</v>
      </c>
      <c r="E13">
        <v>3447791.5</v>
      </c>
      <c r="F13">
        <v>2007.7800000000279</v>
      </c>
    </row>
    <row r="14" spans="1:6" x14ac:dyDescent="0.25">
      <c r="A14" t="s">
        <v>7</v>
      </c>
      <c r="B14">
        <v>1</v>
      </c>
      <c r="C14">
        <v>379932.97</v>
      </c>
      <c r="D14">
        <v>369421.18</v>
      </c>
      <c r="E14">
        <v>390444.76</v>
      </c>
      <c r="F14">
        <v>10511.79000000001</v>
      </c>
    </row>
    <row r="15" spans="1:6" x14ac:dyDescent="0.25">
      <c r="A15" t="s">
        <v>7</v>
      </c>
      <c r="B15">
        <v>2</v>
      </c>
      <c r="C15">
        <v>3401089.28</v>
      </c>
      <c r="D15">
        <v>3334522.66</v>
      </c>
      <c r="E15">
        <v>3467655.9</v>
      </c>
      <c r="F15">
        <v>66566.619999999879</v>
      </c>
    </row>
    <row r="16" spans="1:6" x14ac:dyDescent="0.25">
      <c r="A16" t="s">
        <v>8</v>
      </c>
      <c r="B16">
        <v>1</v>
      </c>
      <c r="C16">
        <v>379825.4</v>
      </c>
      <c r="D16">
        <v>364214.34</v>
      </c>
      <c r="E16">
        <v>395436.46</v>
      </c>
      <c r="F16">
        <v>15611.06</v>
      </c>
    </row>
    <row r="17" spans="1:6" x14ac:dyDescent="0.25">
      <c r="A17" t="s">
        <v>8</v>
      </c>
      <c r="B17">
        <v>2</v>
      </c>
      <c r="C17">
        <v>3546089.02</v>
      </c>
      <c r="D17">
        <v>3531019.46</v>
      </c>
      <c r="E17">
        <v>3561158.58</v>
      </c>
      <c r="F17">
        <v>15069.56000000006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2810379.87</v>
      </c>
      <c r="D21">
        <v>436388.14</v>
      </c>
      <c r="E21">
        <v>5236904.42</v>
      </c>
      <c r="F21">
        <v>2363652.2587159518</v>
      </c>
    </row>
    <row r="22" spans="1:6" x14ac:dyDescent="0.25">
      <c r="A22" t="s">
        <v>2</v>
      </c>
      <c r="C22">
        <v>1901401.375</v>
      </c>
      <c r="D22">
        <v>336481.64</v>
      </c>
      <c r="E22">
        <v>3494939.6</v>
      </c>
      <c r="F22">
        <v>1541553.686888125</v>
      </c>
    </row>
    <row r="23" spans="1:6" ht="15" customHeight="1" x14ac:dyDescent="0.25">
      <c r="A23" s="1" t="s">
        <v>3</v>
      </c>
      <c r="C23">
        <v>1868750.36</v>
      </c>
      <c r="D23">
        <v>347808.16</v>
      </c>
      <c r="E23">
        <v>3389692.56</v>
      </c>
      <c r="F23">
        <v>1520942.2</v>
      </c>
    </row>
    <row r="24" spans="1:6" x14ac:dyDescent="0.25">
      <c r="A24" t="s">
        <v>4</v>
      </c>
      <c r="C24">
        <v>1904760.675</v>
      </c>
      <c r="D24">
        <v>386548.08</v>
      </c>
      <c r="E24">
        <v>3469828.42</v>
      </c>
      <c r="F24">
        <v>1517937.842904272</v>
      </c>
    </row>
    <row r="25" spans="1:6" x14ac:dyDescent="0.25">
      <c r="A25" t="s">
        <v>5</v>
      </c>
      <c r="C25">
        <v>1897487.0349999999</v>
      </c>
      <c r="D25">
        <v>355081.76</v>
      </c>
      <c r="E25">
        <v>3441852.44</v>
      </c>
      <c r="F25">
        <v>1526475.321405374</v>
      </c>
    </row>
    <row r="26" spans="1:6" x14ac:dyDescent="0.25">
      <c r="A26" t="s">
        <v>6</v>
      </c>
      <c r="C26">
        <v>1915530.1950000001</v>
      </c>
      <c r="D26">
        <v>383848.44</v>
      </c>
      <c r="E26">
        <v>3447791.5</v>
      </c>
      <c r="F26">
        <v>1530254.5168323</v>
      </c>
    </row>
    <row r="27" spans="1:6" x14ac:dyDescent="0.25">
      <c r="A27" t="s">
        <v>7</v>
      </c>
      <c r="C27">
        <v>1890511.125</v>
      </c>
      <c r="D27">
        <v>369421.18</v>
      </c>
      <c r="E27">
        <v>3467655.9</v>
      </c>
      <c r="F27">
        <v>1511329.6029247949</v>
      </c>
    </row>
    <row r="28" spans="1:6" ht="15" customHeight="1" x14ac:dyDescent="0.25">
      <c r="A28" s="1" t="s">
        <v>8</v>
      </c>
      <c r="C28">
        <v>1962957.21</v>
      </c>
      <c r="D28">
        <v>364214.34</v>
      </c>
      <c r="E28">
        <v>3561158.58</v>
      </c>
      <c r="F28">
        <v>1583206.1540590141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447163.85</v>
      </c>
      <c r="C33">
        <v>5173595.8900000006</v>
      </c>
    </row>
    <row r="34" spans="1:5" x14ac:dyDescent="0.25">
      <c r="A34" t="s">
        <v>2</v>
      </c>
      <c r="B34">
        <v>360387.88</v>
      </c>
      <c r="C34">
        <v>3442414.87</v>
      </c>
    </row>
    <row r="35" spans="1:5" ht="15" customHeight="1" x14ac:dyDescent="0.25">
      <c r="A35" s="1" t="s">
        <v>3</v>
      </c>
      <c r="B35">
        <v>347808.16</v>
      </c>
      <c r="C35">
        <v>3389692.56</v>
      </c>
    </row>
    <row r="36" spans="1:5" ht="15" customHeight="1" x14ac:dyDescent="0.25">
      <c r="A36" s="1" t="s">
        <v>4</v>
      </c>
      <c r="B36">
        <v>387194.57</v>
      </c>
      <c r="C36">
        <v>3422326.78</v>
      </c>
    </row>
    <row r="37" spans="1:5" x14ac:dyDescent="0.25">
      <c r="A37" t="s">
        <v>5</v>
      </c>
      <c r="B37">
        <v>371106.75</v>
      </c>
      <c r="C37">
        <v>3423867.32</v>
      </c>
    </row>
    <row r="38" spans="1:5" x14ac:dyDescent="0.25">
      <c r="A38" t="s">
        <v>6</v>
      </c>
      <c r="B38">
        <v>385276.67</v>
      </c>
      <c r="C38">
        <v>3445783.72</v>
      </c>
    </row>
    <row r="39" spans="1:5" ht="15" customHeight="1" x14ac:dyDescent="0.25">
      <c r="A39" s="1" t="s">
        <v>7</v>
      </c>
      <c r="B39">
        <v>379932.97</v>
      </c>
      <c r="C39">
        <v>3401089.28</v>
      </c>
    </row>
    <row r="40" spans="1:5" x14ac:dyDescent="0.25">
      <c r="A40" t="s">
        <v>8</v>
      </c>
      <c r="B40">
        <v>379825.4</v>
      </c>
      <c r="C40">
        <v>3546089.02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457939.56</v>
      </c>
      <c r="C45">
        <v>436388.14</v>
      </c>
      <c r="D45">
        <v>5236904.42</v>
      </c>
      <c r="E45">
        <v>5110287.3600000003</v>
      </c>
    </row>
    <row r="46" spans="1:5" x14ac:dyDescent="0.25">
      <c r="A46" t="s">
        <v>2</v>
      </c>
      <c r="B46">
        <v>384294.12</v>
      </c>
      <c r="C46">
        <v>336481.64</v>
      </c>
      <c r="D46">
        <v>3494939.6</v>
      </c>
      <c r="E46">
        <v>3389890.14</v>
      </c>
    </row>
    <row r="47" spans="1:5" ht="15" customHeight="1" x14ac:dyDescent="0.25">
      <c r="A47" s="1" t="s">
        <v>3</v>
      </c>
      <c r="B47">
        <v>347808.16</v>
      </c>
      <c r="C47">
        <v>347808.16</v>
      </c>
      <c r="D47">
        <v>3389692.56</v>
      </c>
      <c r="E47">
        <v>3389692.56</v>
      </c>
    </row>
    <row r="48" spans="1:5" x14ac:dyDescent="0.25">
      <c r="A48" t="s">
        <v>4</v>
      </c>
      <c r="B48">
        <v>386548.08</v>
      </c>
      <c r="C48">
        <v>387841.06</v>
      </c>
      <c r="D48">
        <v>3374825.14</v>
      </c>
      <c r="E48">
        <v>3469828.42</v>
      </c>
    </row>
    <row r="49" spans="1:5" x14ac:dyDescent="0.25">
      <c r="A49" t="s">
        <v>5</v>
      </c>
      <c r="B49">
        <v>387131.74</v>
      </c>
      <c r="C49">
        <v>355081.76</v>
      </c>
      <c r="D49">
        <v>3441852.44</v>
      </c>
      <c r="E49">
        <v>3405882.2</v>
      </c>
    </row>
    <row r="50" spans="1:5" x14ac:dyDescent="0.25">
      <c r="A50" t="s">
        <v>6</v>
      </c>
      <c r="B50">
        <v>383848.44</v>
      </c>
      <c r="C50">
        <v>386704.9</v>
      </c>
      <c r="D50">
        <v>3447791.5</v>
      </c>
      <c r="E50">
        <v>3443775.94</v>
      </c>
    </row>
    <row r="51" spans="1:5" ht="15" customHeight="1" x14ac:dyDescent="0.25">
      <c r="A51" s="1" t="s">
        <v>7</v>
      </c>
      <c r="B51">
        <v>390444.76</v>
      </c>
      <c r="C51">
        <v>369421.18</v>
      </c>
      <c r="D51">
        <v>3467655.9</v>
      </c>
      <c r="E51">
        <v>3334522.66</v>
      </c>
    </row>
    <row r="52" spans="1:5" x14ac:dyDescent="0.25">
      <c r="A52" t="s">
        <v>8</v>
      </c>
      <c r="B52">
        <v>364214.34</v>
      </c>
      <c r="C52">
        <v>395436.46</v>
      </c>
      <c r="D52">
        <v>3531019.46</v>
      </c>
      <c r="E52">
        <v>3561158.58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59"/>
  <sheetViews>
    <sheetView zoomScaleNormal="100" workbookViewId="0"/>
  </sheetViews>
  <sheetFormatPr defaultColWidth="8.5703125" defaultRowHeight="15" x14ac:dyDescent="0.25"/>
  <cols>
    <col min="1" max="1" width="24" style="7" customWidth="1"/>
    <col min="2" max="2" width="11" style="7" customWidth="1"/>
    <col min="3" max="3" width="12" style="7" customWidth="1"/>
    <col min="4" max="5" width="11" style="7" customWidth="1"/>
    <col min="6" max="6" width="20" style="7" customWidth="1"/>
    <col min="7" max="11" width="10" style="7" customWidth="1"/>
    <col min="12" max="12" width="9" style="7" customWidth="1"/>
    <col min="13" max="20" width="10" style="7" customWidth="1"/>
    <col min="21" max="21" width="9" style="7" customWidth="1"/>
    <col min="22" max="61" width="10" style="7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43738</v>
      </c>
      <c r="D2">
        <v>3338</v>
      </c>
      <c r="E2">
        <v>84138</v>
      </c>
      <c r="F2">
        <v>40400</v>
      </c>
    </row>
    <row r="3" spans="1:6" x14ac:dyDescent="0.25">
      <c r="A3" t="s">
        <v>1</v>
      </c>
      <c r="B3">
        <v>2</v>
      </c>
      <c r="C3">
        <v>4781876</v>
      </c>
      <c r="D3">
        <v>430189</v>
      </c>
      <c r="E3">
        <v>9133563</v>
      </c>
      <c r="F3">
        <v>4351687</v>
      </c>
    </row>
    <row r="4" spans="1:6" x14ac:dyDescent="0.25">
      <c r="A4" t="s">
        <v>2</v>
      </c>
      <c r="B4">
        <v>1</v>
      </c>
      <c r="C4">
        <v>1403791.5</v>
      </c>
      <c r="D4">
        <v>0</v>
      </c>
      <c r="E4">
        <v>2807583</v>
      </c>
      <c r="F4">
        <v>1403791.5</v>
      </c>
    </row>
    <row r="5" spans="1:6" x14ac:dyDescent="0.25">
      <c r="A5" t="s">
        <v>2</v>
      </c>
      <c r="B5">
        <v>2</v>
      </c>
      <c r="C5">
        <v>4327263.5</v>
      </c>
      <c r="D5">
        <v>2281165</v>
      </c>
      <c r="E5">
        <v>6373362</v>
      </c>
      <c r="F5">
        <v>2046098.5</v>
      </c>
    </row>
    <row r="6" spans="1:6" x14ac:dyDescent="0.25">
      <c r="A6" t="s">
        <v>3</v>
      </c>
      <c r="B6">
        <v>1</v>
      </c>
      <c r="C6">
        <v>1399</v>
      </c>
      <c r="D6">
        <v>1399</v>
      </c>
      <c r="E6">
        <v>1399</v>
      </c>
      <c r="F6">
        <v>0</v>
      </c>
    </row>
    <row r="7" spans="1:6" x14ac:dyDescent="0.25">
      <c r="A7" t="s">
        <v>3</v>
      </c>
      <c r="B7">
        <v>2</v>
      </c>
      <c r="C7">
        <v>1858116</v>
      </c>
      <c r="D7">
        <v>1858116</v>
      </c>
      <c r="E7">
        <v>1858116</v>
      </c>
      <c r="F7">
        <v>0</v>
      </c>
    </row>
    <row r="8" spans="1:6" x14ac:dyDescent="0.25">
      <c r="A8" t="s">
        <v>4</v>
      </c>
      <c r="B8">
        <v>1</v>
      </c>
      <c r="C8">
        <v>294922</v>
      </c>
      <c r="D8">
        <v>945</v>
      </c>
      <c r="E8">
        <v>588899</v>
      </c>
      <c r="F8">
        <v>293977</v>
      </c>
    </row>
    <row r="9" spans="1:6" x14ac:dyDescent="0.25">
      <c r="A9" t="s">
        <v>4</v>
      </c>
      <c r="B9">
        <v>2</v>
      </c>
      <c r="C9">
        <v>4823247</v>
      </c>
      <c r="D9">
        <v>3141798</v>
      </c>
      <c r="E9">
        <v>6504696</v>
      </c>
      <c r="F9">
        <v>1681449</v>
      </c>
    </row>
    <row r="10" spans="1:6" x14ac:dyDescent="0.25">
      <c r="A10" t="s">
        <v>5</v>
      </c>
      <c r="B10">
        <v>1</v>
      </c>
      <c r="C10">
        <v>675389.5</v>
      </c>
      <c r="D10">
        <v>33000</v>
      </c>
      <c r="E10">
        <v>1317779</v>
      </c>
      <c r="F10">
        <v>642389.5</v>
      </c>
    </row>
    <row r="11" spans="1:6" x14ac:dyDescent="0.25">
      <c r="A11" t="s">
        <v>5</v>
      </c>
      <c r="B11">
        <v>2</v>
      </c>
      <c r="C11">
        <v>3603981.5</v>
      </c>
      <c r="D11">
        <v>3358322</v>
      </c>
      <c r="E11">
        <v>3849641</v>
      </c>
      <c r="F11">
        <v>245659.5</v>
      </c>
    </row>
    <row r="12" spans="1:6" ht="15" customHeight="1" x14ac:dyDescent="0.25">
      <c r="A12" s="1" t="s">
        <v>6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6</v>
      </c>
      <c r="B13">
        <v>2</v>
      </c>
      <c r="C13">
        <v>2210021</v>
      </c>
      <c r="D13">
        <v>2028817</v>
      </c>
      <c r="E13">
        <v>2391225</v>
      </c>
      <c r="F13">
        <v>181204</v>
      </c>
    </row>
    <row r="14" spans="1:6" x14ac:dyDescent="0.25">
      <c r="A14" t="s">
        <v>7</v>
      </c>
      <c r="B14">
        <v>1</v>
      </c>
      <c r="C14">
        <v>262791.5</v>
      </c>
      <c r="D14">
        <v>1391</v>
      </c>
      <c r="E14">
        <v>524192</v>
      </c>
      <c r="F14">
        <v>261400.5</v>
      </c>
    </row>
    <row r="15" spans="1:6" x14ac:dyDescent="0.25">
      <c r="A15" t="s">
        <v>7</v>
      </c>
      <c r="B15">
        <v>2</v>
      </c>
      <c r="C15">
        <v>4380721</v>
      </c>
      <c r="D15">
        <v>1321110</v>
      </c>
      <c r="E15">
        <v>7440332</v>
      </c>
      <c r="F15">
        <v>3059611</v>
      </c>
    </row>
    <row r="16" spans="1:6" x14ac:dyDescent="0.25">
      <c r="A16" t="s">
        <v>8</v>
      </c>
      <c r="B16">
        <v>1</v>
      </c>
      <c r="C16">
        <v>263590</v>
      </c>
      <c r="D16">
        <v>770</v>
      </c>
      <c r="E16">
        <v>526410</v>
      </c>
      <c r="F16">
        <v>262820</v>
      </c>
    </row>
    <row r="17" spans="1:6" x14ac:dyDescent="0.25">
      <c r="A17" t="s">
        <v>8</v>
      </c>
      <c r="B17">
        <v>2</v>
      </c>
      <c r="C17">
        <v>124416</v>
      </c>
      <c r="D17">
        <v>97742</v>
      </c>
      <c r="E17">
        <v>151090</v>
      </c>
      <c r="F17">
        <v>26674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2412807</v>
      </c>
      <c r="D21">
        <v>3338</v>
      </c>
      <c r="E21">
        <v>9133563</v>
      </c>
      <c r="F21">
        <v>3883541.4095571968</v>
      </c>
    </row>
    <row r="22" spans="1:6" x14ac:dyDescent="0.25">
      <c r="A22" t="s">
        <v>2</v>
      </c>
      <c r="C22">
        <v>2865527.5</v>
      </c>
      <c r="D22">
        <v>0</v>
      </c>
      <c r="E22">
        <v>6373362</v>
      </c>
      <c r="F22">
        <v>2283691.5197292408</v>
      </c>
    </row>
    <row r="23" spans="1:6" ht="15" customHeight="1" x14ac:dyDescent="0.25">
      <c r="A23" s="1" t="s">
        <v>3</v>
      </c>
      <c r="C23">
        <v>929757.5</v>
      </c>
      <c r="D23">
        <v>1399</v>
      </c>
      <c r="E23">
        <v>1858116</v>
      </c>
      <c r="F23">
        <v>928358.5</v>
      </c>
    </row>
    <row r="24" spans="1:6" x14ac:dyDescent="0.25">
      <c r="A24" t="s">
        <v>4</v>
      </c>
      <c r="C24">
        <v>2559084.5</v>
      </c>
      <c r="D24">
        <v>945</v>
      </c>
      <c r="E24">
        <v>6504696</v>
      </c>
      <c r="F24">
        <v>2565790.0215082392</v>
      </c>
    </row>
    <row r="25" spans="1:6" x14ac:dyDescent="0.25">
      <c r="A25" t="s">
        <v>5</v>
      </c>
      <c r="C25">
        <v>2139685.5</v>
      </c>
      <c r="D25">
        <v>33000</v>
      </c>
      <c r="E25">
        <v>3849641</v>
      </c>
      <c r="F25">
        <v>1542941.7375394481</v>
      </c>
    </row>
    <row r="26" spans="1:6" x14ac:dyDescent="0.25">
      <c r="A26" t="s">
        <v>6</v>
      </c>
      <c r="C26">
        <v>1105010.5</v>
      </c>
      <c r="D26">
        <v>0</v>
      </c>
      <c r="E26">
        <v>2391225</v>
      </c>
      <c r="F26">
        <v>1112414.3337436151</v>
      </c>
    </row>
    <row r="27" spans="1:6" x14ac:dyDescent="0.25">
      <c r="A27" t="s">
        <v>7</v>
      </c>
      <c r="C27">
        <v>2321756.25</v>
      </c>
      <c r="D27">
        <v>1391</v>
      </c>
      <c r="E27">
        <v>7440332</v>
      </c>
      <c r="F27">
        <v>2992342.0072082649</v>
      </c>
    </row>
    <row r="28" spans="1:6" ht="15" customHeight="1" x14ac:dyDescent="0.25">
      <c r="A28" s="1" t="s">
        <v>8</v>
      </c>
      <c r="C28">
        <v>194003</v>
      </c>
      <c r="D28">
        <v>770</v>
      </c>
      <c r="E28">
        <v>526410</v>
      </c>
      <c r="F28">
        <v>199337.09616375971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43738</v>
      </c>
      <c r="C33">
        <v>4781876</v>
      </c>
    </row>
    <row r="34" spans="1:5" x14ac:dyDescent="0.25">
      <c r="A34" t="s">
        <v>2</v>
      </c>
      <c r="B34">
        <v>1403791.5</v>
      </c>
      <c r="C34">
        <v>4327263.5</v>
      </c>
    </row>
    <row r="35" spans="1:5" ht="15" customHeight="1" x14ac:dyDescent="0.25">
      <c r="A35" s="1" t="s">
        <v>3</v>
      </c>
      <c r="B35">
        <v>1399</v>
      </c>
      <c r="C35">
        <v>1858116</v>
      </c>
    </row>
    <row r="36" spans="1:5" ht="15" customHeight="1" x14ac:dyDescent="0.25">
      <c r="A36" s="1" t="s">
        <v>4</v>
      </c>
      <c r="B36">
        <v>294922</v>
      </c>
      <c r="C36">
        <v>4823247</v>
      </c>
    </row>
    <row r="37" spans="1:5" x14ac:dyDescent="0.25">
      <c r="A37" t="s">
        <v>5</v>
      </c>
      <c r="B37">
        <v>675389.5</v>
      </c>
      <c r="C37">
        <v>3603981.5</v>
      </c>
    </row>
    <row r="38" spans="1:5" x14ac:dyDescent="0.25">
      <c r="A38" t="s">
        <v>6</v>
      </c>
      <c r="B38">
        <v>0</v>
      </c>
      <c r="C38">
        <v>2210021</v>
      </c>
    </row>
    <row r="39" spans="1:5" ht="15" customHeight="1" x14ac:dyDescent="0.25">
      <c r="A39" s="1" t="s">
        <v>7</v>
      </c>
      <c r="B39">
        <v>262791.5</v>
      </c>
      <c r="C39">
        <v>4380721</v>
      </c>
    </row>
    <row r="40" spans="1:5" x14ac:dyDescent="0.25">
      <c r="A40" t="s">
        <v>8</v>
      </c>
      <c r="B40">
        <v>263590</v>
      </c>
      <c r="C40">
        <v>124416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3338</v>
      </c>
      <c r="C45">
        <v>84138</v>
      </c>
      <c r="D45">
        <v>430189</v>
      </c>
      <c r="E45">
        <v>9133563</v>
      </c>
    </row>
    <row r="46" spans="1:5" x14ac:dyDescent="0.25">
      <c r="A46" t="s">
        <v>2</v>
      </c>
      <c r="B46">
        <v>0</v>
      </c>
      <c r="C46">
        <v>2807583</v>
      </c>
      <c r="D46">
        <v>2281165</v>
      </c>
      <c r="E46">
        <v>6373362</v>
      </c>
    </row>
    <row r="47" spans="1:5" ht="15" customHeight="1" x14ac:dyDescent="0.25">
      <c r="A47" s="1" t="s">
        <v>3</v>
      </c>
      <c r="B47">
        <v>1399</v>
      </c>
      <c r="C47">
        <v>1399</v>
      </c>
      <c r="D47">
        <v>1858116</v>
      </c>
      <c r="E47">
        <v>1858116</v>
      </c>
    </row>
    <row r="48" spans="1:5" x14ac:dyDescent="0.25">
      <c r="A48" t="s">
        <v>4</v>
      </c>
      <c r="B48">
        <v>588899</v>
      </c>
      <c r="C48">
        <v>945</v>
      </c>
      <c r="D48">
        <v>6504696</v>
      </c>
      <c r="E48">
        <v>3141798</v>
      </c>
    </row>
    <row r="49" spans="1:5" x14ac:dyDescent="0.25">
      <c r="A49" t="s">
        <v>5</v>
      </c>
      <c r="B49">
        <v>33000</v>
      </c>
      <c r="C49">
        <v>1317779</v>
      </c>
      <c r="D49">
        <v>3358322</v>
      </c>
      <c r="E49">
        <v>3849641</v>
      </c>
    </row>
    <row r="50" spans="1:5" x14ac:dyDescent="0.25">
      <c r="A50" t="s">
        <v>6</v>
      </c>
      <c r="B50">
        <v>0</v>
      </c>
      <c r="C50">
        <v>0</v>
      </c>
      <c r="D50">
        <v>2391225</v>
      </c>
      <c r="E50">
        <v>2028817</v>
      </c>
    </row>
    <row r="51" spans="1:5" ht="15" customHeight="1" x14ac:dyDescent="0.25">
      <c r="A51" s="1" t="s">
        <v>7</v>
      </c>
      <c r="B51">
        <v>1391</v>
      </c>
      <c r="C51">
        <v>524192</v>
      </c>
      <c r="D51">
        <v>1321110</v>
      </c>
      <c r="E51">
        <v>7440332</v>
      </c>
    </row>
    <row r="52" spans="1:5" x14ac:dyDescent="0.25">
      <c r="A52" t="s">
        <v>8</v>
      </c>
      <c r="B52">
        <v>526410</v>
      </c>
      <c r="C52">
        <v>770</v>
      </c>
      <c r="D52">
        <v>97742</v>
      </c>
      <c r="E52">
        <v>151090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Y12"/>
  <sheetViews>
    <sheetView zoomScaleNormal="100" workbookViewId="0">
      <selection activeCell="V53" sqref="V53"/>
    </sheetView>
  </sheetViews>
  <sheetFormatPr defaultColWidth="8.5703125" defaultRowHeight="15" x14ac:dyDescent="0.25"/>
  <sheetData>
    <row r="1" spans="1:103" ht="15" customHeight="1" x14ac:dyDescent="0.25">
      <c r="A1" s="4" t="s">
        <v>18</v>
      </c>
    </row>
    <row r="2" spans="1:103" x14ac:dyDescent="0.25"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  <c r="AP2" t="s">
        <v>41</v>
      </c>
      <c r="AQ2" t="s">
        <v>41</v>
      </c>
      <c r="AR2" t="s">
        <v>41</v>
      </c>
      <c r="AS2" t="s">
        <v>41</v>
      </c>
      <c r="AT2" t="s">
        <v>41</v>
      </c>
      <c r="AU2" t="s">
        <v>41</v>
      </c>
      <c r="AV2" t="s">
        <v>41</v>
      </c>
      <c r="AW2" t="s">
        <v>41</v>
      </c>
      <c r="AX2" t="s">
        <v>41</v>
      </c>
      <c r="AY2" t="s">
        <v>41</v>
      </c>
      <c r="AZ2" t="s">
        <v>42</v>
      </c>
      <c r="BA2" t="s">
        <v>41</v>
      </c>
      <c r="BB2" t="s">
        <v>41</v>
      </c>
      <c r="BC2" t="s">
        <v>41</v>
      </c>
      <c r="BD2" t="s">
        <v>41</v>
      </c>
      <c r="BE2" t="s">
        <v>41</v>
      </c>
      <c r="BF2" t="s">
        <v>41</v>
      </c>
      <c r="BG2" t="s">
        <v>41</v>
      </c>
      <c r="BH2" t="s">
        <v>41</v>
      </c>
      <c r="BI2" t="s">
        <v>41</v>
      </c>
      <c r="BJ2" t="s">
        <v>41</v>
      </c>
      <c r="BK2" t="s">
        <v>41</v>
      </c>
      <c r="BL2" t="s">
        <v>41</v>
      </c>
      <c r="BM2" t="s">
        <v>41</v>
      </c>
      <c r="BN2" t="s">
        <v>41</v>
      </c>
      <c r="BO2" t="s">
        <v>41</v>
      </c>
      <c r="BP2" t="s">
        <v>41</v>
      </c>
      <c r="BQ2" t="s">
        <v>41</v>
      </c>
      <c r="BR2" t="s">
        <v>41</v>
      </c>
      <c r="BS2" t="s">
        <v>41</v>
      </c>
      <c r="BT2" t="s">
        <v>41</v>
      </c>
      <c r="BU2" t="s">
        <v>41</v>
      </c>
      <c r="BV2" t="s">
        <v>41</v>
      </c>
      <c r="BW2" t="s">
        <v>41</v>
      </c>
      <c r="BX2" t="s">
        <v>41</v>
      </c>
      <c r="BY2" t="s">
        <v>41</v>
      </c>
      <c r="BZ2" t="s">
        <v>41</v>
      </c>
      <c r="CA2" t="s">
        <v>41</v>
      </c>
      <c r="CB2" t="s">
        <v>41</v>
      </c>
      <c r="CC2" t="s">
        <v>41</v>
      </c>
      <c r="CD2" t="s">
        <v>41</v>
      </c>
      <c r="CE2" t="s">
        <v>41</v>
      </c>
      <c r="CF2" t="s">
        <v>41</v>
      </c>
      <c r="CG2" t="s">
        <v>41</v>
      </c>
      <c r="CH2" t="s">
        <v>41</v>
      </c>
      <c r="CI2" t="s">
        <v>41</v>
      </c>
      <c r="CJ2" t="s">
        <v>41</v>
      </c>
      <c r="CK2" t="s">
        <v>41</v>
      </c>
      <c r="CL2" t="s">
        <v>41</v>
      </c>
      <c r="CM2" t="s">
        <v>41</v>
      </c>
      <c r="CN2" t="s">
        <v>41</v>
      </c>
      <c r="CO2" t="s">
        <v>41</v>
      </c>
      <c r="CP2" t="s">
        <v>41</v>
      </c>
      <c r="CQ2" t="s">
        <v>41</v>
      </c>
      <c r="CR2" t="s">
        <v>41</v>
      </c>
      <c r="CS2" t="s">
        <v>41</v>
      </c>
      <c r="CT2" t="s">
        <v>41</v>
      </c>
      <c r="CU2" t="s">
        <v>41</v>
      </c>
      <c r="CV2" t="s">
        <v>41</v>
      </c>
      <c r="CW2" t="s">
        <v>41</v>
      </c>
      <c r="CX2" t="s">
        <v>41</v>
      </c>
      <c r="CY2" t="s">
        <v>42</v>
      </c>
    </row>
    <row r="3" spans="1:10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</row>
    <row r="4" spans="1:103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</row>
    <row r="5" spans="1:103" x14ac:dyDescent="0.25">
      <c r="A5" t="s">
        <v>1</v>
      </c>
      <c r="B5">
        <v>41809.196078431371</v>
      </c>
      <c r="C5">
        <v>41778.352941176468</v>
      </c>
      <c r="D5">
        <v>229.35294117647061</v>
      </c>
      <c r="E5">
        <v>28664.98039215686</v>
      </c>
      <c r="F5">
        <v>159.07843137254901</v>
      </c>
      <c r="G5">
        <v>90.058823529411768</v>
      </c>
      <c r="H5">
        <v>46112.137254901958</v>
      </c>
      <c r="I5">
        <v>10329.98039215686</v>
      </c>
      <c r="J5">
        <v>48.411764705882362</v>
      </c>
      <c r="K5">
        <v>161.66666666666671</v>
      </c>
      <c r="L5">
        <v>39.215686274509807</v>
      </c>
      <c r="M5">
        <v>161.07843137254901</v>
      </c>
      <c r="N5">
        <v>185.80392156862749</v>
      </c>
      <c r="O5">
        <v>393.98039215686282</v>
      </c>
      <c r="P5">
        <v>29571.647058823532</v>
      </c>
      <c r="Q5">
        <v>3026.666666666667</v>
      </c>
      <c r="R5">
        <v>144.33333333333329</v>
      </c>
      <c r="S5">
        <v>28222.98039215686</v>
      </c>
      <c r="T5">
        <v>48670.431372549021</v>
      </c>
      <c r="U5">
        <v>26704.941176470591</v>
      </c>
      <c r="V5">
        <v>67.568627450980387</v>
      </c>
      <c r="W5">
        <v>148.39215686274511</v>
      </c>
      <c r="X5">
        <v>87.607843137254903</v>
      </c>
      <c r="Y5">
        <v>30.03921568627451</v>
      </c>
      <c r="Z5">
        <v>98700.96078431372</v>
      </c>
      <c r="AA5">
        <v>1498.1568627450979</v>
      </c>
      <c r="AB5">
        <v>1073.7647058823529</v>
      </c>
      <c r="AC5">
        <v>47.019607843137258</v>
      </c>
      <c r="AD5">
        <v>112.2941176470588</v>
      </c>
      <c r="AE5">
        <v>144.37254901960779</v>
      </c>
      <c r="AF5">
        <v>1449.4313725490199</v>
      </c>
      <c r="AG5">
        <v>31480.274509803919</v>
      </c>
      <c r="AH5">
        <v>51497.490196078426</v>
      </c>
      <c r="AI5">
        <v>1768.2549019607841</v>
      </c>
      <c r="AJ5">
        <v>57325.862745098042</v>
      </c>
      <c r="AK5">
        <v>50365.76470588235</v>
      </c>
      <c r="AL5">
        <v>15360.588235294121</v>
      </c>
      <c r="AM5">
        <v>42527.549019607854</v>
      </c>
      <c r="AN5">
        <v>72.921568627450981</v>
      </c>
      <c r="AO5">
        <v>1397.9215686274511</v>
      </c>
      <c r="AP5">
        <v>15571.784313725489</v>
      </c>
      <c r="AQ5">
        <v>5710.7254901960787</v>
      </c>
      <c r="AR5">
        <v>13869.588235294121</v>
      </c>
      <c r="AS5">
        <v>9616.4117647058829</v>
      </c>
      <c r="AT5">
        <v>51320.98039215686</v>
      </c>
      <c r="AU5">
        <v>3799.7647058823532</v>
      </c>
      <c r="AV5">
        <v>48540.372549019608</v>
      </c>
      <c r="AW5">
        <v>66429.372549019608</v>
      </c>
      <c r="AX5">
        <v>100.1372549019608</v>
      </c>
      <c r="AY5">
        <v>172.19607843137251</v>
      </c>
      <c r="AZ5">
        <v>1715.2156862745101</v>
      </c>
      <c r="BA5">
        <v>109348.15686274511</v>
      </c>
      <c r="BB5">
        <v>90508.313725490196</v>
      </c>
      <c r="BC5">
        <v>95434.529411764699</v>
      </c>
      <c r="BD5">
        <v>222549.21568627449</v>
      </c>
      <c r="BE5">
        <v>107745.3529411765</v>
      </c>
      <c r="BF5">
        <v>138201.76470588229</v>
      </c>
      <c r="BG5">
        <v>156974.13725490199</v>
      </c>
      <c r="BH5">
        <v>139804.96078431371</v>
      </c>
      <c r="BI5">
        <v>89681.96078431372</v>
      </c>
      <c r="BJ5">
        <v>99557.705882352937</v>
      </c>
      <c r="BK5">
        <v>231322</v>
      </c>
      <c r="BL5">
        <v>143759.3529411765</v>
      </c>
      <c r="BM5">
        <v>132902.19607843141</v>
      </c>
      <c r="BN5">
        <v>61849.960784313727</v>
      </c>
      <c r="BO5">
        <v>136935.5294117647</v>
      </c>
      <c r="BP5">
        <v>372490.72549019608</v>
      </c>
      <c r="BQ5">
        <v>85993.843137254895</v>
      </c>
      <c r="BR5">
        <v>256641.92156862741</v>
      </c>
      <c r="BS5">
        <v>117492.23529411769</v>
      </c>
      <c r="BT5">
        <v>164957.9411764706</v>
      </c>
      <c r="BU5">
        <v>163638.43137254901</v>
      </c>
      <c r="BV5">
        <v>80967.470588235301</v>
      </c>
      <c r="BW5">
        <v>222916.21568627449</v>
      </c>
      <c r="BX5">
        <v>180653.68627450979</v>
      </c>
      <c r="BY5">
        <v>92545.058823529413</v>
      </c>
      <c r="BZ5">
        <v>201323.4509803922</v>
      </c>
      <c r="CA5">
        <v>305735.4117647059</v>
      </c>
      <c r="CB5">
        <v>72416.803921568629</v>
      </c>
      <c r="CC5">
        <v>388199.27450980392</v>
      </c>
      <c r="CD5">
        <v>360331.31372549018</v>
      </c>
      <c r="CE5">
        <v>179038.5490196078</v>
      </c>
      <c r="CF5">
        <v>179597.03921568629</v>
      </c>
      <c r="CG5">
        <v>105485.7843137255</v>
      </c>
      <c r="CH5">
        <v>345916.80392156861</v>
      </c>
      <c r="CI5">
        <v>246064.78431372551</v>
      </c>
      <c r="CJ5">
        <v>300920.70588235301</v>
      </c>
      <c r="CK5">
        <v>324637.50980392162</v>
      </c>
      <c r="CL5">
        <v>542401.68627450976</v>
      </c>
      <c r="CM5">
        <v>295032.15686274512</v>
      </c>
      <c r="CN5">
        <v>370617.21568627452</v>
      </c>
      <c r="CO5">
        <v>152320.96078431371</v>
      </c>
      <c r="CP5">
        <v>321280.72549019608</v>
      </c>
      <c r="CQ5">
        <v>345021.21568627452</v>
      </c>
      <c r="CR5">
        <v>143331.6470588235</v>
      </c>
      <c r="CS5">
        <v>248947</v>
      </c>
      <c r="CT5">
        <v>112704.17647058819</v>
      </c>
      <c r="CU5">
        <v>191944.70588235301</v>
      </c>
      <c r="CV5">
        <v>348565.45098039223</v>
      </c>
      <c r="CW5">
        <v>168674.56862745099</v>
      </c>
      <c r="CX5">
        <v>198924.0588235294</v>
      </c>
      <c r="CY5">
        <v>187524.5490196078</v>
      </c>
    </row>
    <row r="6" spans="1:103" x14ac:dyDescent="0.25">
      <c r="A6" t="s">
        <v>2</v>
      </c>
      <c r="B6">
        <v>8930.7647058823532</v>
      </c>
      <c r="C6">
        <v>6970.8039215686276</v>
      </c>
      <c r="D6">
        <v>832.41176470588232</v>
      </c>
      <c r="E6">
        <v>498.19607843137248</v>
      </c>
      <c r="F6">
        <v>1129.1764705882349</v>
      </c>
      <c r="G6">
        <v>23.098039215686271</v>
      </c>
      <c r="H6">
        <v>42851.01960784314</v>
      </c>
      <c r="I6">
        <v>1084.980392156863</v>
      </c>
      <c r="J6">
        <v>10999.64705882353</v>
      </c>
      <c r="K6">
        <v>96.921568627450981</v>
      </c>
      <c r="L6">
        <v>125.68627450980389</v>
      </c>
      <c r="M6">
        <v>48.96078431372549</v>
      </c>
      <c r="N6">
        <v>80.705882352941174</v>
      </c>
      <c r="O6">
        <v>86.647058823529406</v>
      </c>
      <c r="P6">
        <v>720</v>
      </c>
      <c r="Q6">
        <v>81107.333333333328</v>
      </c>
      <c r="R6">
        <v>27958.372549019608</v>
      </c>
      <c r="S6">
        <v>773.94117647058829</v>
      </c>
      <c r="T6">
        <v>12565.313725490199</v>
      </c>
      <c r="U6">
        <v>109.7647058823529</v>
      </c>
      <c r="V6">
        <v>35.529411764705877</v>
      </c>
      <c r="W6">
        <v>91.294117647058826</v>
      </c>
      <c r="X6">
        <v>28614.215686274511</v>
      </c>
      <c r="Y6">
        <v>87.960784313725483</v>
      </c>
      <c r="Z6">
        <v>27.588235294117649</v>
      </c>
      <c r="AA6">
        <v>375.70588235294122</v>
      </c>
      <c r="AB6">
        <v>34219.450980392146</v>
      </c>
      <c r="AC6">
        <v>32490.215686274511</v>
      </c>
      <c r="AD6">
        <v>198.49019607843141</v>
      </c>
      <c r="AE6">
        <v>43706.549019607854</v>
      </c>
      <c r="AF6">
        <v>51321.372549019608</v>
      </c>
      <c r="AG6">
        <v>86.666666666666671</v>
      </c>
      <c r="AH6">
        <v>10845.76470588235</v>
      </c>
      <c r="AI6">
        <v>77476.588235294112</v>
      </c>
      <c r="AJ6">
        <v>560.94117647058829</v>
      </c>
      <c r="AK6">
        <v>186.37254901960779</v>
      </c>
      <c r="AL6">
        <v>74922.019607843133</v>
      </c>
      <c r="AM6">
        <v>105.01960784313729</v>
      </c>
      <c r="AN6">
        <v>1459.0784313725489</v>
      </c>
      <c r="AO6">
        <v>30.2156862745098</v>
      </c>
      <c r="AP6">
        <v>69.862745098039213</v>
      </c>
      <c r="AQ6">
        <v>139.98039215686271</v>
      </c>
      <c r="AR6">
        <v>994.62745098039215</v>
      </c>
      <c r="AS6">
        <v>154.1764705882353</v>
      </c>
      <c r="AT6">
        <v>105080.137254902</v>
      </c>
      <c r="AU6">
        <v>848.64705882352939</v>
      </c>
      <c r="AV6">
        <v>69.647058823529406</v>
      </c>
      <c r="AW6">
        <v>63.745098039215677</v>
      </c>
      <c r="AX6">
        <v>44486.254901960783</v>
      </c>
      <c r="AY6">
        <v>901.03921568627447</v>
      </c>
      <c r="AZ6">
        <v>55050.647058823532</v>
      </c>
      <c r="BA6">
        <v>74742.058823529413</v>
      </c>
      <c r="BB6">
        <v>147562.27450980389</v>
      </c>
      <c r="BC6">
        <v>41141.039215686273</v>
      </c>
      <c r="BD6">
        <v>70597.862745098042</v>
      </c>
      <c r="BE6">
        <v>67556.725490196084</v>
      </c>
      <c r="BF6">
        <v>85793.156862745105</v>
      </c>
      <c r="BG6">
        <v>175765.78431372551</v>
      </c>
      <c r="BH6">
        <v>97997.137254901958</v>
      </c>
      <c r="BI6">
        <v>120582.5098039216</v>
      </c>
      <c r="BJ6">
        <v>102996.0196078431</v>
      </c>
      <c r="BK6">
        <v>96657.431372549021</v>
      </c>
      <c r="BL6">
        <v>101414.4509803922</v>
      </c>
      <c r="BM6">
        <v>127343.82352941181</v>
      </c>
      <c r="BN6">
        <v>169629.23529411771</v>
      </c>
      <c r="BO6">
        <v>143846.4705882353</v>
      </c>
      <c r="BP6">
        <v>185562.25490196081</v>
      </c>
      <c r="BQ6">
        <v>151524.31372549021</v>
      </c>
      <c r="BR6">
        <v>1492.372549019608</v>
      </c>
      <c r="BS6">
        <v>151640.72549019611</v>
      </c>
      <c r="BT6">
        <v>141770.3529411765</v>
      </c>
      <c r="BU6">
        <v>99471.705882352937</v>
      </c>
      <c r="BV6">
        <v>77247.627450980392</v>
      </c>
      <c r="BW6">
        <v>84734.470588235301</v>
      </c>
      <c r="BX6">
        <v>101743.5294117647</v>
      </c>
      <c r="BY6">
        <v>74039.980392156867</v>
      </c>
      <c r="BZ6">
        <v>93635.019607843133</v>
      </c>
      <c r="CA6">
        <v>242008.6470588235</v>
      </c>
      <c r="CB6">
        <v>257309.76470588229</v>
      </c>
      <c r="CC6">
        <v>189808.8823529412</v>
      </c>
      <c r="CD6">
        <v>249012.09803921569</v>
      </c>
      <c r="CE6">
        <v>230299.33333333331</v>
      </c>
      <c r="CF6">
        <v>213347.60784313729</v>
      </c>
      <c r="CG6">
        <v>185158.3529411765</v>
      </c>
      <c r="CH6">
        <v>215029.5098039216</v>
      </c>
      <c r="CI6">
        <v>241592.31372549021</v>
      </c>
      <c r="CJ6">
        <v>57047.01960784314</v>
      </c>
      <c r="CK6">
        <v>202661.21568627449</v>
      </c>
      <c r="CL6">
        <v>60386.705882352937</v>
      </c>
      <c r="CM6">
        <v>77357.254901960783</v>
      </c>
      <c r="CN6">
        <v>171564.9803921569</v>
      </c>
      <c r="CO6">
        <v>34076.568627450979</v>
      </c>
      <c r="CP6">
        <v>133088.5882352941</v>
      </c>
      <c r="CQ6">
        <v>235033.4509803922</v>
      </c>
      <c r="CR6">
        <v>224015.0196078431</v>
      </c>
      <c r="CS6">
        <v>183794.8823529412</v>
      </c>
      <c r="CT6">
        <v>25989.823529411769</v>
      </c>
      <c r="CU6">
        <v>180848</v>
      </c>
      <c r="CV6">
        <v>140083.21568627449</v>
      </c>
      <c r="CW6">
        <v>96132.411764705888</v>
      </c>
      <c r="CX6">
        <v>117699.09803921571</v>
      </c>
      <c r="CY6">
        <v>169696.60784313729</v>
      </c>
    </row>
    <row r="7" spans="1:103" x14ac:dyDescent="0.25">
      <c r="A7" t="s">
        <v>3</v>
      </c>
      <c r="B7">
        <v>109904.3921568627</v>
      </c>
      <c r="C7">
        <v>85555.725490196084</v>
      </c>
      <c r="D7">
        <v>76762.901960784307</v>
      </c>
      <c r="E7">
        <v>72789.921568627455</v>
      </c>
      <c r="F7">
        <v>57095.647058823532</v>
      </c>
      <c r="G7">
        <v>55733.450980392146</v>
      </c>
      <c r="H7">
        <v>52355.490196078426</v>
      </c>
      <c r="I7">
        <v>51728.784313725489</v>
      </c>
      <c r="J7">
        <v>49161.882352941167</v>
      </c>
      <c r="K7">
        <v>20565.607843137259</v>
      </c>
      <c r="L7">
        <v>17872.274509803919</v>
      </c>
      <c r="M7">
        <v>13954.941176470589</v>
      </c>
      <c r="N7">
        <v>2482.039215686274</v>
      </c>
      <c r="O7">
        <v>2199.5294117647059</v>
      </c>
      <c r="P7">
        <v>2010.35294117647</v>
      </c>
      <c r="Q7">
        <v>1571.64705882353</v>
      </c>
      <c r="R7">
        <v>1379.607843137255</v>
      </c>
      <c r="S7">
        <v>1343.2549019607841</v>
      </c>
      <c r="T7">
        <v>1343.1372549019609</v>
      </c>
      <c r="U7">
        <v>1342.980392156863</v>
      </c>
      <c r="V7">
        <v>983.33333333333337</v>
      </c>
      <c r="W7">
        <v>281.84313725490188</v>
      </c>
      <c r="X7">
        <v>271.29411764705878</v>
      </c>
      <c r="Y7">
        <v>254.43137254901961</v>
      </c>
      <c r="Z7">
        <v>211.0588235294118</v>
      </c>
      <c r="AA7">
        <v>238.8235294117647</v>
      </c>
      <c r="AB7">
        <v>182.9411764705882</v>
      </c>
      <c r="AC7">
        <v>138.98039215686271</v>
      </c>
      <c r="AD7">
        <v>135.52941176470591</v>
      </c>
      <c r="AE7">
        <v>129.84313725490199</v>
      </c>
      <c r="AF7">
        <v>124.35294117647059</v>
      </c>
      <c r="AG7">
        <v>121.68627450980389</v>
      </c>
      <c r="AH7">
        <v>120.8235294117647</v>
      </c>
      <c r="AI7">
        <v>119.45098039215689</v>
      </c>
      <c r="AJ7">
        <v>118.6274509803922</v>
      </c>
      <c r="AK7">
        <v>117.3333333333333</v>
      </c>
      <c r="AL7">
        <v>116.1960784313726</v>
      </c>
      <c r="AM7">
        <v>115.1372549019608</v>
      </c>
      <c r="AN7">
        <v>113.7254901960784</v>
      </c>
      <c r="AO7">
        <v>112.78431372549019</v>
      </c>
      <c r="AP7">
        <v>111.92156862745099</v>
      </c>
      <c r="AQ7">
        <v>106.54901960784311</v>
      </c>
      <c r="AR7">
        <v>105.21568627450981</v>
      </c>
      <c r="AS7">
        <v>74.862745098039213</v>
      </c>
      <c r="AT7">
        <v>74.470588235294116</v>
      </c>
      <c r="AU7">
        <v>73.411764705882348</v>
      </c>
      <c r="AV7">
        <v>67.843137254901961</v>
      </c>
      <c r="AW7">
        <v>67.294117647058826</v>
      </c>
      <c r="AX7">
        <v>67.254901960784309</v>
      </c>
      <c r="AY7">
        <v>66.196078431372555</v>
      </c>
      <c r="AZ7">
        <v>54.862745098039213</v>
      </c>
      <c r="BA7">
        <v>198036.19607843141</v>
      </c>
      <c r="BB7">
        <v>189559.92156862741</v>
      </c>
      <c r="BC7">
        <v>183681.56862745099</v>
      </c>
      <c r="BD7">
        <v>182256.62745098039</v>
      </c>
      <c r="BE7">
        <v>179342.5098039216</v>
      </c>
      <c r="BF7">
        <v>174720.07843137259</v>
      </c>
      <c r="BG7">
        <v>169856.9411764706</v>
      </c>
      <c r="BH7">
        <v>167792.9803921569</v>
      </c>
      <c r="BI7">
        <v>158959.68627450979</v>
      </c>
      <c r="BJ7">
        <v>152213.56862745099</v>
      </c>
      <c r="BK7">
        <v>151734.62745098039</v>
      </c>
      <c r="BL7">
        <v>149381.96078431371</v>
      </c>
      <c r="BM7">
        <v>148351.21568627449</v>
      </c>
      <c r="BN7">
        <v>144306.74509803919</v>
      </c>
      <c r="BO7">
        <v>140147.09803921569</v>
      </c>
      <c r="BP7">
        <v>138326.74509803919</v>
      </c>
      <c r="BQ7">
        <v>136093.4901960784</v>
      </c>
      <c r="BR7">
        <v>135534.27450980389</v>
      </c>
      <c r="BS7">
        <v>132546.15686274509</v>
      </c>
      <c r="BT7">
        <v>129811.37254901959</v>
      </c>
      <c r="BU7">
        <v>128204.3529411765</v>
      </c>
      <c r="BV7">
        <v>127397.9215686275</v>
      </c>
      <c r="BW7">
        <v>126290.1176470588</v>
      </c>
      <c r="BX7">
        <v>123942.3529411765</v>
      </c>
      <c r="BY7">
        <v>122229.2156862745</v>
      </c>
      <c r="BZ7">
        <v>146187.4509803922</v>
      </c>
      <c r="CA7">
        <v>139728.43137254901</v>
      </c>
      <c r="CB7">
        <v>138694</v>
      </c>
      <c r="CC7">
        <v>136098.5490196078</v>
      </c>
      <c r="CD7">
        <v>135111.60784313729</v>
      </c>
      <c r="CE7">
        <v>134493.13725490199</v>
      </c>
      <c r="CF7">
        <v>129765.84313725489</v>
      </c>
      <c r="CG7">
        <v>126465.8039215686</v>
      </c>
      <c r="CH7">
        <v>121906.5098039216</v>
      </c>
      <c r="CI7">
        <v>119898.70588235289</v>
      </c>
      <c r="CJ7">
        <v>114711.09803921571</v>
      </c>
      <c r="CK7">
        <v>113641.37254901959</v>
      </c>
      <c r="CL7">
        <v>112277.3333333333</v>
      </c>
      <c r="CM7">
        <v>110991.84313725489</v>
      </c>
      <c r="CN7">
        <v>107448.0784313725</v>
      </c>
      <c r="CO7">
        <v>105692.15686274511</v>
      </c>
      <c r="CP7">
        <v>105229.96078431371</v>
      </c>
      <c r="CQ7">
        <v>103836.23529411769</v>
      </c>
      <c r="CR7">
        <v>102340.43137254901</v>
      </c>
      <c r="CS7">
        <v>100214.862745098</v>
      </c>
      <c r="CT7">
        <v>92357.019607843133</v>
      </c>
      <c r="CU7">
        <v>91231.686274509804</v>
      </c>
      <c r="CV7">
        <v>90381.333333333328</v>
      </c>
      <c r="CW7">
        <v>89341.254901960783</v>
      </c>
      <c r="CX7">
        <v>87693.568627450979</v>
      </c>
      <c r="CY7">
        <v>72867.294117647063</v>
      </c>
    </row>
    <row r="8" spans="1:103" x14ac:dyDescent="0.25">
      <c r="A8" t="s">
        <v>4</v>
      </c>
      <c r="B8">
        <v>102.2941176470588</v>
      </c>
      <c r="C8">
        <v>104.5098039215686</v>
      </c>
      <c r="D8">
        <v>995.23529411764707</v>
      </c>
      <c r="E8">
        <v>1515.705882352941</v>
      </c>
      <c r="F8">
        <v>100.8235294117647</v>
      </c>
      <c r="G8">
        <v>43498.23529411765</v>
      </c>
      <c r="H8">
        <v>18</v>
      </c>
      <c r="I8">
        <v>542.03921568627447</v>
      </c>
      <c r="J8">
        <v>128</v>
      </c>
      <c r="K8">
        <v>27951.313725490199</v>
      </c>
      <c r="L8">
        <v>116.92156862745099</v>
      </c>
      <c r="M8">
        <v>26181.411764705881</v>
      </c>
      <c r="N8">
        <v>71.058823529411768</v>
      </c>
      <c r="O8">
        <v>0</v>
      </c>
      <c r="P8">
        <v>37760.215686274511</v>
      </c>
      <c r="Q8">
        <v>1745.725490196078</v>
      </c>
      <c r="R8">
        <v>134.62745098039221</v>
      </c>
      <c r="S8">
        <v>1655.8235294117651</v>
      </c>
      <c r="T8">
        <v>72.745098039215691</v>
      </c>
      <c r="U8">
        <v>32236.725490196081</v>
      </c>
      <c r="V8">
        <v>53.764705882352942</v>
      </c>
      <c r="W8">
        <v>1263.039215686274</v>
      </c>
      <c r="X8">
        <v>190.0588235294118</v>
      </c>
      <c r="Y8">
        <v>38439.843137254902</v>
      </c>
      <c r="Z8">
        <v>9071.6862745098042</v>
      </c>
      <c r="AA8">
        <v>66005.058823529413</v>
      </c>
      <c r="AB8">
        <v>233.29411764705881</v>
      </c>
      <c r="AC8">
        <v>60947.725490196077</v>
      </c>
      <c r="AD8">
        <v>12330.37254901961</v>
      </c>
      <c r="AE8">
        <v>134654.17647058819</v>
      </c>
      <c r="AF8">
        <v>47.490196078431367</v>
      </c>
      <c r="AG8">
        <v>241.74509803921569</v>
      </c>
      <c r="AH8">
        <v>868.94117647058829</v>
      </c>
      <c r="AI8">
        <v>65.117647058823536</v>
      </c>
      <c r="AJ8">
        <v>33550.823529411762</v>
      </c>
      <c r="AK8">
        <v>1008.450980392157</v>
      </c>
      <c r="AL8">
        <v>23.058823529411761</v>
      </c>
      <c r="AM8">
        <v>70.627450980392155</v>
      </c>
      <c r="AN8">
        <v>141062.70588235301</v>
      </c>
      <c r="AO8">
        <v>156.80392156862749</v>
      </c>
      <c r="AP8">
        <v>32369.176470588231</v>
      </c>
      <c r="AQ8">
        <v>31228.23529411765</v>
      </c>
      <c r="AR8">
        <v>9178.3137254901958</v>
      </c>
      <c r="AS8">
        <v>50.745098039215677</v>
      </c>
      <c r="AT8">
        <v>29.3921568627451</v>
      </c>
      <c r="AU8">
        <v>10764.941176470589</v>
      </c>
      <c r="AV8">
        <v>63.725490196078432</v>
      </c>
      <c r="AW8">
        <v>40.431372549019613</v>
      </c>
      <c r="AX8">
        <v>159.39215686274511</v>
      </c>
      <c r="AY8">
        <v>104.4901960784314</v>
      </c>
      <c r="AZ8">
        <v>11565.568627450981</v>
      </c>
      <c r="BA8">
        <v>77234.882352941175</v>
      </c>
      <c r="BB8">
        <v>81600.372549019608</v>
      </c>
      <c r="BC8">
        <v>75732.490196078434</v>
      </c>
      <c r="BD8">
        <v>134481.33333333331</v>
      </c>
      <c r="BE8">
        <v>102155.7843137255</v>
      </c>
      <c r="BF8">
        <v>77756.588235294112</v>
      </c>
      <c r="BG8">
        <v>5113.8039215686276</v>
      </c>
      <c r="BH8">
        <v>193743.5490196078</v>
      </c>
      <c r="BI8">
        <v>115299.6470588235</v>
      </c>
      <c r="BJ8">
        <v>76966.843137254895</v>
      </c>
      <c r="BK8">
        <v>155598.0588235294</v>
      </c>
      <c r="BL8">
        <v>109798.23529411769</v>
      </c>
      <c r="BM8">
        <v>158218.72549019611</v>
      </c>
      <c r="BN8">
        <v>82553.901960784307</v>
      </c>
      <c r="BO8">
        <v>98360.666666666672</v>
      </c>
      <c r="BP8">
        <v>49421.784313725489</v>
      </c>
      <c r="BQ8">
        <v>126384.3137254902</v>
      </c>
      <c r="BR8">
        <v>149509.74509803919</v>
      </c>
      <c r="BS8">
        <v>133540.37254901961</v>
      </c>
      <c r="BT8">
        <v>175213.27450980389</v>
      </c>
      <c r="BU8">
        <v>44645.647058823532</v>
      </c>
      <c r="BV8">
        <v>45341.686274509797</v>
      </c>
      <c r="BW8">
        <v>125302.137254902</v>
      </c>
      <c r="BX8">
        <v>136129.21568627449</v>
      </c>
      <c r="BY8">
        <v>242995.1176470588</v>
      </c>
      <c r="BZ8">
        <v>224915.37254901961</v>
      </c>
      <c r="CA8">
        <v>100879.9411764706</v>
      </c>
      <c r="CB8">
        <v>161507.82352941181</v>
      </c>
      <c r="CC8">
        <v>235051.23529411771</v>
      </c>
      <c r="CD8">
        <v>232656.37254901961</v>
      </c>
      <c r="CE8">
        <v>187290.27450980389</v>
      </c>
      <c r="CF8">
        <v>183093.5294117647</v>
      </c>
      <c r="CG8">
        <v>205205.4705882353</v>
      </c>
      <c r="CH8">
        <v>148210.72549019611</v>
      </c>
      <c r="CI8">
        <v>165381.29411764699</v>
      </c>
      <c r="CJ8">
        <v>132548.21568627449</v>
      </c>
      <c r="CK8">
        <v>117405.43137254901</v>
      </c>
      <c r="CL8">
        <v>178412.3529411765</v>
      </c>
      <c r="CM8">
        <v>123274.0196078431</v>
      </c>
      <c r="CN8">
        <v>202178.8823529412</v>
      </c>
      <c r="CO8">
        <v>117498.37254901959</v>
      </c>
      <c r="CP8">
        <v>259552.82352941181</v>
      </c>
      <c r="CQ8">
        <v>325879.39215686283</v>
      </c>
      <c r="CR8">
        <v>170715.9803921569</v>
      </c>
      <c r="CS8">
        <v>84028.196078431371</v>
      </c>
      <c r="CT8">
        <v>87900.803921568629</v>
      </c>
      <c r="CU8">
        <v>68476.803921568629</v>
      </c>
      <c r="CV8">
        <v>105318.62745098041</v>
      </c>
      <c r="CW8">
        <v>89898.254901960783</v>
      </c>
      <c r="CX8">
        <v>30066.294117647059</v>
      </c>
      <c r="CY8">
        <v>189146.9411764706</v>
      </c>
    </row>
    <row r="9" spans="1:103" x14ac:dyDescent="0.25">
      <c r="A9" t="s">
        <v>5</v>
      </c>
      <c r="B9">
        <v>28571.705882352941</v>
      </c>
      <c r="C9">
        <v>1249.588235294118</v>
      </c>
      <c r="D9">
        <v>25922.372549019608</v>
      </c>
      <c r="E9">
        <v>24652.392156862741</v>
      </c>
      <c r="F9">
        <v>1820.686274509804</v>
      </c>
      <c r="G9">
        <v>56.509803921568633</v>
      </c>
      <c r="H9">
        <v>45375.039215686273</v>
      </c>
      <c r="I9">
        <v>7023.9019607843138</v>
      </c>
      <c r="J9">
        <v>42869.411764705881</v>
      </c>
      <c r="K9">
        <v>165.66666666666671</v>
      </c>
      <c r="L9">
        <v>7756.1372549019607</v>
      </c>
      <c r="M9">
        <v>26268.823529411769</v>
      </c>
      <c r="N9">
        <v>694.03921568627447</v>
      </c>
      <c r="O9">
        <v>78.784313725490193</v>
      </c>
      <c r="P9">
        <v>39321.156862745098</v>
      </c>
      <c r="Q9">
        <v>1026.666666666667</v>
      </c>
      <c r="R9">
        <v>802.82352941176475</v>
      </c>
      <c r="S9">
        <v>44.901960784313722</v>
      </c>
      <c r="T9">
        <v>42.686274509803923</v>
      </c>
      <c r="U9">
        <v>698.9019607843137</v>
      </c>
      <c r="V9">
        <v>43.333333333333343</v>
      </c>
      <c r="W9">
        <v>36486.450980392146</v>
      </c>
      <c r="X9">
        <v>82.196078431372555</v>
      </c>
      <c r="Y9">
        <v>1097.627450980392</v>
      </c>
      <c r="Z9">
        <v>0</v>
      </c>
      <c r="AA9">
        <v>112.156862745098</v>
      </c>
      <c r="AB9">
        <v>104.68627450980389</v>
      </c>
      <c r="AC9">
        <v>62.862745098039213</v>
      </c>
      <c r="AD9">
        <v>80.784313725490193</v>
      </c>
      <c r="AE9">
        <v>51510.333333333343</v>
      </c>
      <c r="AF9">
        <v>47143.411764705881</v>
      </c>
      <c r="AG9">
        <v>23.019607843137251</v>
      </c>
      <c r="AH9">
        <v>1236.705882352941</v>
      </c>
      <c r="AI9">
        <v>156.49019607843141</v>
      </c>
      <c r="AJ9">
        <v>104.92156862745099</v>
      </c>
      <c r="AK9">
        <v>63.274509803921568</v>
      </c>
      <c r="AL9">
        <v>1036.039215686274</v>
      </c>
      <c r="AM9">
        <v>34482.843137254902</v>
      </c>
      <c r="AN9">
        <v>155629.68627450979</v>
      </c>
      <c r="AO9">
        <v>29.941176470588239</v>
      </c>
      <c r="AP9">
        <v>267.64705882352939</v>
      </c>
      <c r="AQ9">
        <v>83.254901960784309</v>
      </c>
      <c r="AR9">
        <v>0</v>
      </c>
      <c r="AS9">
        <v>173.64705882352939</v>
      </c>
      <c r="AT9">
        <v>40251.01960784314</v>
      </c>
      <c r="AU9">
        <v>69.235294117647058</v>
      </c>
      <c r="AV9">
        <v>100287.862745098</v>
      </c>
      <c r="AW9">
        <v>129.54901960784309</v>
      </c>
      <c r="AX9">
        <v>162.8235294117647</v>
      </c>
      <c r="AY9">
        <v>2306.294117647059</v>
      </c>
      <c r="AZ9">
        <v>26485.862745098038</v>
      </c>
      <c r="BA9">
        <v>20068.137254901962</v>
      </c>
      <c r="BB9">
        <v>180663.07843137259</v>
      </c>
      <c r="BC9">
        <v>27241.52941176471</v>
      </c>
      <c r="BD9">
        <v>145748.8823529412</v>
      </c>
      <c r="BE9">
        <v>82628.274509803916</v>
      </c>
      <c r="BF9">
        <v>106265.2156862745</v>
      </c>
      <c r="BG9">
        <v>105068.9803921569</v>
      </c>
      <c r="BH9">
        <v>74019.196078431371</v>
      </c>
      <c r="BI9">
        <v>168821.6470588235</v>
      </c>
      <c r="BJ9">
        <v>87340.980392156867</v>
      </c>
      <c r="BK9">
        <v>137317.43137254901</v>
      </c>
      <c r="BL9">
        <v>154096.5882352941</v>
      </c>
      <c r="BM9">
        <v>148756.8823529412</v>
      </c>
      <c r="BN9">
        <v>141622.3529411765</v>
      </c>
      <c r="BO9">
        <v>254064.13725490199</v>
      </c>
      <c r="BP9">
        <v>145818.23529411771</v>
      </c>
      <c r="BQ9">
        <v>108930.84313725489</v>
      </c>
      <c r="BR9">
        <v>74891.725490196084</v>
      </c>
      <c r="BS9">
        <v>77720.509803921566</v>
      </c>
      <c r="BT9">
        <v>231923.33333333331</v>
      </c>
      <c r="BU9">
        <v>85320.549019607846</v>
      </c>
      <c r="BV9">
        <v>58537.01960784314</v>
      </c>
      <c r="BW9">
        <v>43915.431372549021</v>
      </c>
      <c r="BX9">
        <v>107502.9803921569</v>
      </c>
      <c r="BY9">
        <v>276593.9411764706</v>
      </c>
      <c r="BZ9">
        <v>185784.07843137259</v>
      </c>
      <c r="CA9">
        <v>225571.92156862741</v>
      </c>
      <c r="CB9">
        <v>134341.82352941181</v>
      </c>
      <c r="CC9">
        <v>167500.03921568629</v>
      </c>
      <c r="CD9">
        <v>173251.9803921569</v>
      </c>
      <c r="CE9">
        <v>186462.25490196081</v>
      </c>
      <c r="CF9">
        <v>111546.17647058819</v>
      </c>
      <c r="CG9">
        <v>115157.15686274511</v>
      </c>
      <c r="CH9">
        <v>78002.549019607846</v>
      </c>
      <c r="CI9">
        <v>132927.4117647059</v>
      </c>
      <c r="CJ9">
        <v>174187.70588235301</v>
      </c>
      <c r="CK9">
        <v>51871.078431372553</v>
      </c>
      <c r="CL9">
        <v>239097.9411764706</v>
      </c>
      <c r="CM9">
        <v>199034.6470588235</v>
      </c>
      <c r="CN9">
        <v>259390.62745098039</v>
      </c>
      <c r="CO9">
        <v>207347.84313725491</v>
      </c>
      <c r="CP9">
        <v>102389.76470588231</v>
      </c>
      <c r="CQ9">
        <v>163478.5294117647</v>
      </c>
      <c r="CR9">
        <v>109843.4705882353</v>
      </c>
      <c r="CS9">
        <v>137511.5098039216</v>
      </c>
      <c r="CT9">
        <v>93349.76470588235</v>
      </c>
      <c r="CU9">
        <v>55576.960784313727</v>
      </c>
      <c r="CV9">
        <v>147134.0588235294</v>
      </c>
      <c r="CW9">
        <v>102305.09803921571</v>
      </c>
      <c r="CX9">
        <v>115523.0588235294</v>
      </c>
      <c r="CY9">
        <v>141332.60784313729</v>
      </c>
    </row>
    <row r="10" spans="1:103" x14ac:dyDescent="0.25">
      <c r="A10" t="s">
        <v>6</v>
      </c>
      <c r="B10">
        <v>731.33333333333337</v>
      </c>
      <c r="C10">
        <v>135.60784313725489</v>
      </c>
      <c r="D10">
        <v>125.92156862745099</v>
      </c>
      <c r="E10">
        <v>548.17647058823525</v>
      </c>
      <c r="F10">
        <v>26241.921568627451</v>
      </c>
      <c r="G10">
        <v>110.92156862745099</v>
      </c>
      <c r="H10">
        <v>74788.274509803916</v>
      </c>
      <c r="I10">
        <v>67.960784313725483</v>
      </c>
      <c r="J10">
        <v>42934.176470588238</v>
      </c>
      <c r="K10">
        <v>63.176470588235297</v>
      </c>
      <c r="L10">
        <v>51</v>
      </c>
      <c r="M10">
        <v>1124.0784313725489</v>
      </c>
      <c r="N10">
        <v>27024.647058823532</v>
      </c>
      <c r="O10">
        <v>76.392156862745097</v>
      </c>
      <c r="P10">
        <v>131.56862745098039</v>
      </c>
      <c r="Q10">
        <v>73.549019607843135</v>
      </c>
      <c r="R10">
        <v>44187.823529411762</v>
      </c>
      <c r="S10">
        <v>1766.1568627450979</v>
      </c>
      <c r="T10">
        <v>24.96078431372549</v>
      </c>
      <c r="U10">
        <v>675.0980392156863</v>
      </c>
      <c r="V10">
        <v>54924.784313725489</v>
      </c>
      <c r="W10">
        <v>158.74509803921569</v>
      </c>
      <c r="X10">
        <v>55.235294117647058</v>
      </c>
      <c r="Y10">
        <v>27973.03921568628</v>
      </c>
      <c r="Z10">
        <v>8151.7843137254904</v>
      </c>
      <c r="AA10">
        <v>65981.098039215693</v>
      </c>
      <c r="AB10">
        <v>46408.294117647063</v>
      </c>
      <c r="AC10">
        <v>12555.23529411765</v>
      </c>
      <c r="AD10">
        <v>114.6666666666667</v>
      </c>
      <c r="AE10">
        <v>31124.568627450979</v>
      </c>
      <c r="AF10">
        <v>35803.843137254902</v>
      </c>
      <c r="AG10">
        <v>82.803921568627445</v>
      </c>
      <c r="AH10">
        <v>107489.09803921571</v>
      </c>
      <c r="AI10">
        <v>34.196078431372548</v>
      </c>
      <c r="AJ10">
        <v>111.843137254902</v>
      </c>
      <c r="AK10">
        <v>47523.470588235286</v>
      </c>
      <c r="AL10">
        <v>283.15686274509812</v>
      </c>
      <c r="AM10">
        <v>72.078431372549019</v>
      </c>
      <c r="AN10">
        <v>188.0588235294118</v>
      </c>
      <c r="AO10">
        <v>48.313725490196077</v>
      </c>
      <c r="AP10">
        <v>133.74509803921569</v>
      </c>
      <c r="AQ10">
        <v>0</v>
      </c>
      <c r="AR10">
        <v>2268.4509803921569</v>
      </c>
      <c r="AS10">
        <v>42450.274509803923</v>
      </c>
      <c r="AT10">
        <v>29.3921568627451</v>
      </c>
      <c r="AU10">
        <v>60.705882352941167</v>
      </c>
      <c r="AV10">
        <v>31193.058823529409</v>
      </c>
      <c r="AW10">
        <v>124.2941176470588</v>
      </c>
      <c r="AX10">
        <v>8465.2941176470595</v>
      </c>
      <c r="AY10">
        <v>10752.17647058824</v>
      </c>
      <c r="AZ10">
        <v>0</v>
      </c>
      <c r="BA10">
        <v>69970.607843137259</v>
      </c>
      <c r="BB10">
        <v>44118.607843137252</v>
      </c>
      <c r="BC10">
        <v>127024.5098039216</v>
      </c>
      <c r="BD10">
        <v>157200.9411764706</v>
      </c>
      <c r="BE10">
        <v>101368.9803921569</v>
      </c>
      <c r="BF10">
        <v>90398.058823529413</v>
      </c>
      <c r="BG10">
        <v>91470.745098039217</v>
      </c>
      <c r="BH10">
        <v>145130.78431372551</v>
      </c>
      <c r="BI10">
        <v>212350.19607843141</v>
      </c>
      <c r="BJ10">
        <v>102284.5294117647</v>
      </c>
      <c r="BK10">
        <v>249036.0196078431</v>
      </c>
      <c r="BL10">
        <v>172508.5098039216</v>
      </c>
      <c r="BM10">
        <v>61522.215686274511</v>
      </c>
      <c r="BN10">
        <v>117202.3137254902</v>
      </c>
      <c r="BO10">
        <v>121315.29411764711</v>
      </c>
      <c r="BP10">
        <v>156805.0588235294</v>
      </c>
      <c r="BQ10">
        <v>126245.7450980392</v>
      </c>
      <c r="BR10">
        <v>84853.647058823524</v>
      </c>
      <c r="BS10">
        <v>125239.84313725489</v>
      </c>
      <c r="BT10">
        <v>119695.29411764711</v>
      </c>
      <c r="BU10">
        <v>197872.1176470588</v>
      </c>
      <c r="BV10">
        <v>156741.78431372551</v>
      </c>
      <c r="BW10">
        <v>148629.72549019611</v>
      </c>
      <c r="BX10">
        <v>61657.294117647063</v>
      </c>
      <c r="BY10">
        <v>117358.7254901961</v>
      </c>
      <c r="BZ10">
        <v>177988.27450980389</v>
      </c>
      <c r="CA10">
        <v>176696.86274509801</v>
      </c>
      <c r="CB10">
        <v>195131.0196078431</v>
      </c>
      <c r="CC10">
        <v>163189.5098039216</v>
      </c>
      <c r="CD10">
        <v>131006.5294117647</v>
      </c>
      <c r="CE10">
        <v>250583.13725490199</v>
      </c>
      <c r="CF10">
        <v>138749.78431372551</v>
      </c>
      <c r="CG10">
        <v>9329.5490196078426</v>
      </c>
      <c r="CH10">
        <v>74697.705882352937</v>
      </c>
      <c r="CI10">
        <v>83986.137254901958</v>
      </c>
      <c r="CJ10">
        <v>144889.0196078431</v>
      </c>
      <c r="CK10">
        <v>132562.21568627449</v>
      </c>
      <c r="CL10">
        <v>3265.3137254901958</v>
      </c>
      <c r="CM10">
        <v>176850.19607843141</v>
      </c>
      <c r="CN10">
        <v>4020.666666666667</v>
      </c>
      <c r="CO10">
        <v>92604.352941176476</v>
      </c>
      <c r="CP10">
        <v>211883.0196078431</v>
      </c>
      <c r="CQ10">
        <v>178520.29411764699</v>
      </c>
      <c r="CR10">
        <v>123259.1960784314</v>
      </c>
      <c r="CS10">
        <v>288364.64705882361</v>
      </c>
      <c r="CT10">
        <v>174401.4901960784</v>
      </c>
      <c r="CU10">
        <v>134015.4705882353</v>
      </c>
      <c r="CV10">
        <v>325652.39215686283</v>
      </c>
      <c r="CW10">
        <v>161205.92156862741</v>
      </c>
      <c r="CX10">
        <v>45584.411764705881</v>
      </c>
      <c r="CY10">
        <v>86667.490196078434</v>
      </c>
    </row>
    <row r="11" spans="1:103" x14ac:dyDescent="0.25">
      <c r="A11" t="s">
        <v>7</v>
      </c>
      <c r="B11">
        <v>136.01960784313729</v>
      </c>
      <c r="C11">
        <v>24639.176470588231</v>
      </c>
      <c r="D11">
        <v>8957.9019607843129</v>
      </c>
      <c r="E11">
        <v>45.333333333333343</v>
      </c>
      <c r="F11">
        <v>749.45098039215691</v>
      </c>
      <c r="G11">
        <v>25258.352941176468</v>
      </c>
      <c r="H11">
        <v>38443.098039215693</v>
      </c>
      <c r="I11">
        <v>54.843137254901961</v>
      </c>
      <c r="J11">
        <v>765.23529411764707</v>
      </c>
      <c r="K11">
        <v>1992.1372549019609</v>
      </c>
      <c r="L11">
        <v>1032.411764705882</v>
      </c>
      <c r="M11">
        <v>744.62745098039215</v>
      </c>
      <c r="N11">
        <v>684.56862745098044</v>
      </c>
      <c r="O11">
        <v>64214.058823529413</v>
      </c>
      <c r="P11">
        <v>1102.098039215686</v>
      </c>
      <c r="Q11">
        <v>147.7254901960784</v>
      </c>
      <c r="R11">
        <v>34.313725490196077</v>
      </c>
      <c r="S11">
        <v>26230.156862745102</v>
      </c>
      <c r="T11">
        <v>51.549019607843142</v>
      </c>
      <c r="U11">
        <v>50.215686274509807</v>
      </c>
      <c r="V11">
        <v>26237.52941176471</v>
      </c>
      <c r="W11">
        <v>1039.901960784314</v>
      </c>
      <c r="X11">
        <v>79148.196078431371</v>
      </c>
      <c r="Y11">
        <v>885.66666666666663</v>
      </c>
      <c r="Z11">
        <v>57.901960784313722</v>
      </c>
      <c r="AA11">
        <v>114.1764705882353</v>
      </c>
      <c r="AB11">
        <v>65.411764705882348</v>
      </c>
      <c r="AC11">
        <v>35.03921568627451</v>
      </c>
      <c r="AD11">
        <v>130.21568627450981</v>
      </c>
      <c r="AE11">
        <v>34334.803921568629</v>
      </c>
      <c r="AF11">
        <v>120.6078431372549</v>
      </c>
      <c r="AG11">
        <v>28.725490196078429</v>
      </c>
      <c r="AH11">
        <v>155.58823529411771</v>
      </c>
      <c r="AI11">
        <v>74863.607843137259</v>
      </c>
      <c r="AJ11">
        <v>34441.313725490203</v>
      </c>
      <c r="AK11">
        <v>142.7647058823529</v>
      </c>
      <c r="AL11">
        <v>1325.5686274509801</v>
      </c>
      <c r="AM11">
        <v>949.0980392156863</v>
      </c>
      <c r="AN11">
        <v>33494.058823529413</v>
      </c>
      <c r="AO11">
        <v>1519.901960784314</v>
      </c>
      <c r="AP11">
        <v>2378.3529411764712</v>
      </c>
      <c r="AQ11">
        <v>59666.196078431371</v>
      </c>
      <c r="AR11">
        <v>10730.588235294121</v>
      </c>
      <c r="AS11">
        <v>32.588235294117638</v>
      </c>
      <c r="AT11">
        <v>9154.4901960784318</v>
      </c>
      <c r="AU11">
        <v>351.03921568627447</v>
      </c>
      <c r="AV11">
        <v>78422</v>
      </c>
      <c r="AW11">
        <v>0</v>
      </c>
      <c r="AX11">
        <v>66028.058823529413</v>
      </c>
      <c r="AY11">
        <v>33779.941176470587</v>
      </c>
      <c r="AZ11">
        <v>10305.549019607841</v>
      </c>
      <c r="BA11">
        <v>87564.470588235301</v>
      </c>
      <c r="BB11">
        <v>89196.196078431371</v>
      </c>
      <c r="BC11">
        <v>116526.4705882353</v>
      </c>
      <c r="BD11">
        <v>124900.0784313725</v>
      </c>
      <c r="BE11">
        <v>238506.21568627449</v>
      </c>
      <c r="BF11">
        <v>124749.5490196078</v>
      </c>
      <c r="BG11">
        <v>95150.843137254895</v>
      </c>
      <c r="BH11">
        <v>109780.1176470588</v>
      </c>
      <c r="BI11">
        <v>100582.137254902</v>
      </c>
      <c r="BJ11">
        <v>17887.058823529409</v>
      </c>
      <c r="BK11">
        <v>173865.31372549021</v>
      </c>
      <c r="BL11">
        <v>315186.17647058831</v>
      </c>
      <c r="BM11">
        <v>203639.84313725491</v>
      </c>
      <c r="BN11">
        <v>63333.078431372553</v>
      </c>
      <c r="BO11">
        <v>171247.84313725491</v>
      </c>
      <c r="BP11">
        <v>71118.705882352937</v>
      </c>
      <c r="BQ11">
        <v>46598.76470588235</v>
      </c>
      <c r="BR11">
        <v>120665.4117647059</v>
      </c>
      <c r="BS11">
        <v>118618.4705882353</v>
      </c>
      <c r="BT11">
        <v>92316.313725490196</v>
      </c>
      <c r="BU11">
        <v>109330.4901960784</v>
      </c>
      <c r="BV11">
        <v>134283.70588235301</v>
      </c>
      <c r="BW11">
        <v>107031.3921568627</v>
      </c>
      <c r="BX11">
        <v>161554.39215686271</v>
      </c>
      <c r="BY11">
        <v>91798.058823529413</v>
      </c>
      <c r="BZ11">
        <v>106942.2549019608</v>
      </c>
      <c r="CA11">
        <v>141877.5098039216</v>
      </c>
      <c r="CB11">
        <v>185340.1176470588</v>
      </c>
      <c r="CC11">
        <v>162968.13725490199</v>
      </c>
      <c r="CD11">
        <v>181873.0588235294</v>
      </c>
      <c r="CE11">
        <v>119583.90196078429</v>
      </c>
      <c r="CF11">
        <v>238093.5098039216</v>
      </c>
      <c r="CG11">
        <v>68638.901960784307</v>
      </c>
      <c r="CH11">
        <v>91631.372549019608</v>
      </c>
      <c r="CI11">
        <v>207151.4509803922</v>
      </c>
      <c r="CJ11">
        <v>225033.03921568629</v>
      </c>
      <c r="CK11">
        <v>149596.70588235301</v>
      </c>
      <c r="CL11">
        <v>207453.62745098039</v>
      </c>
      <c r="CM11">
        <v>129031.9215686275</v>
      </c>
      <c r="CN11">
        <v>46524.372549019608</v>
      </c>
      <c r="CO11">
        <v>243833.5294117647</v>
      </c>
      <c r="CP11">
        <v>170818.60784313729</v>
      </c>
      <c r="CQ11">
        <v>88829.078431372545</v>
      </c>
      <c r="CR11">
        <v>114609.4705882353</v>
      </c>
      <c r="CS11">
        <v>72820.019607843133</v>
      </c>
      <c r="CT11">
        <v>102150</v>
      </c>
      <c r="CU11">
        <v>150461.84313725491</v>
      </c>
      <c r="CV11">
        <v>181048.70588235301</v>
      </c>
      <c r="CW11">
        <v>131503.3529411765</v>
      </c>
      <c r="CX11">
        <v>65556.921568627455</v>
      </c>
      <c r="CY11">
        <v>171792.9803921569</v>
      </c>
    </row>
    <row r="12" spans="1:103" x14ac:dyDescent="0.25">
      <c r="A12" t="s">
        <v>8</v>
      </c>
      <c r="B12">
        <v>36489.627450980392</v>
      </c>
      <c r="C12">
        <v>24555.431372549021</v>
      </c>
      <c r="D12">
        <v>467.45098039215691</v>
      </c>
      <c r="E12">
        <v>41.490196078431367</v>
      </c>
      <c r="F12">
        <v>986.9019607843137</v>
      </c>
      <c r="G12">
        <v>29195.215686274511</v>
      </c>
      <c r="H12">
        <v>8016.0588235294117</v>
      </c>
      <c r="I12">
        <v>28.03921568627451</v>
      </c>
      <c r="J12">
        <v>10365.274509803919</v>
      </c>
      <c r="K12">
        <v>42777.176470588238</v>
      </c>
      <c r="L12">
        <v>54995.176470588238</v>
      </c>
      <c r="M12">
        <v>184.54901960784309</v>
      </c>
      <c r="N12">
        <v>97</v>
      </c>
      <c r="O12">
        <v>83.549019607843135</v>
      </c>
      <c r="P12">
        <v>151.37254901960779</v>
      </c>
      <c r="Q12">
        <v>36413.078431372553</v>
      </c>
      <c r="R12">
        <v>1097.627450980392</v>
      </c>
      <c r="S12">
        <v>0</v>
      </c>
      <c r="T12">
        <v>59.215686274509807</v>
      </c>
      <c r="U12">
        <v>100.8627450980392</v>
      </c>
      <c r="V12">
        <v>28550.50980392157</v>
      </c>
      <c r="W12">
        <v>116.01960784313729</v>
      </c>
      <c r="X12">
        <v>28662.176470588231</v>
      </c>
      <c r="Y12">
        <v>77.490196078431367</v>
      </c>
      <c r="Z12">
        <v>57.450980392156858</v>
      </c>
      <c r="AA12">
        <v>1479.8235294117651</v>
      </c>
      <c r="AB12">
        <v>3201.6078431372548</v>
      </c>
      <c r="AC12">
        <v>46888.745098039217</v>
      </c>
      <c r="AD12">
        <v>8363.3921568627447</v>
      </c>
      <c r="AE12">
        <v>1560.9215686274511</v>
      </c>
      <c r="AF12">
        <v>55.019607843137258</v>
      </c>
      <c r="AG12">
        <v>42203.901960784307</v>
      </c>
      <c r="AH12">
        <v>62898.725490196077</v>
      </c>
      <c r="AI12">
        <v>31176.352941176468</v>
      </c>
      <c r="AJ12">
        <v>31569.549019607839</v>
      </c>
      <c r="AK12">
        <v>1513.8039215686269</v>
      </c>
      <c r="AL12">
        <v>46092.078431372553</v>
      </c>
      <c r="AM12">
        <v>72.705882352941174</v>
      </c>
      <c r="AN12">
        <v>272.11764705882348</v>
      </c>
      <c r="AO12">
        <v>1467.7450980392159</v>
      </c>
      <c r="AP12">
        <v>33628.431372549021</v>
      </c>
      <c r="AQ12">
        <v>31110.098039215689</v>
      </c>
      <c r="AR12">
        <v>163.07843137254901</v>
      </c>
      <c r="AS12">
        <v>65982.823529411762</v>
      </c>
      <c r="AT12">
        <v>35.294117647058833</v>
      </c>
      <c r="AU12">
        <v>873.45098039215691</v>
      </c>
      <c r="AV12">
        <v>57.411764705882362</v>
      </c>
      <c r="AW12">
        <v>0</v>
      </c>
      <c r="AX12">
        <v>30320</v>
      </c>
      <c r="AY12">
        <v>199.8627450980392</v>
      </c>
      <c r="AZ12">
        <v>10336.86274509804</v>
      </c>
      <c r="BA12">
        <v>221765.23529411771</v>
      </c>
      <c r="BB12">
        <v>69986.921568627455</v>
      </c>
      <c r="BC12">
        <v>137634.70588235301</v>
      </c>
      <c r="BD12">
        <v>63691.294117647063</v>
      </c>
      <c r="BE12">
        <v>75649.686274509804</v>
      </c>
      <c r="BF12">
        <v>136540.96078431371</v>
      </c>
      <c r="BG12">
        <v>87591.137254901958</v>
      </c>
      <c r="BH12">
        <v>181809.96078431371</v>
      </c>
      <c r="BI12">
        <v>120009.29411764711</v>
      </c>
      <c r="BJ12">
        <v>123382.8823529412</v>
      </c>
      <c r="BK12">
        <v>104989.1960784314</v>
      </c>
      <c r="BL12">
        <v>192999</v>
      </c>
      <c r="BM12">
        <v>72782.921568627455</v>
      </c>
      <c r="BN12">
        <v>135190.86274509801</v>
      </c>
      <c r="BO12">
        <v>139425.37254901961</v>
      </c>
      <c r="BP12">
        <v>75688.019607843133</v>
      </c>
      <c r="BQ12">
        <v>2927.9803921568632</v>
      </c>
      <c r="BR12">
        <v>82274.921568627455</v>
      </c>
      <c r="BS12">
        <v>110666.3137254902</v>
      </c>
      <c r="BT12">
        <v>89419.549019607846</v>
      </c>
      <c r="BU12">
        <v>93693.803921568629</v>
      </c>
      <c r="BV12">
        <v>48615.470588235286</v>
      </c>
      <c r="BW12">
        <v>173271.5490196078</v>
      </c>
      <c r="BX12">
        <v>31214.568627450979</v>
      </c>
      <c r="BY12">
        <v>94127.686274509804</v>
      </c>
      <c r="BZ12">
        <v>155443.60784313729</v>
      </c>
      <c r="CA12">
        <v>180044.66666666669</v>
      </c>
      <c r="CB12">
        <v>93188.823529411762</v>
      </c>
      <c r="CC12">
        <v>406689.56862745102</v>
      </c>
      <c r="CD12">
        <v>91515.76470588235</v>
      </c>
      <c r="CE12">
        <v>147986</v>
      </c>
      <c r="CF12">
        <v>195546.68627450979</v>
      </c>
      <c r="CG12">
        <v>145992.23529411771</v>
      </c>
      <c r="CH12">
        <v>101080.5490196078</v>
      </c>
      <c r="CI12">
        <v>55072.450980392146</v>
      </c>
      <c r="CJ12">
        <v>96207.03921568628</v>
      </c>
      <c r="CK12">
        <v>121377.7254901961</v>
      </c>
      <c r="CL12">
        <v>47759.607843137252</v>
      </c>
      <c r="CM12">
        <v>268373.19607843139</v>
      </c>
      <c r="CN12">
        <v>200839.92156862741</v>
      </c>
      <c r="CO12">
        <v>232700.4705882353</v>
      </c>
      <c r="CP12">
        <v>221038.43137254901</v>
      </c>
      <c r="CQ12">
        <v>144555.0196078431</v>
      </c>
      <c r="CR12">
        <v>90143.078431372545</v>
      </c>
      <c r="CS12">
        <v>175233.84313725491</v>
      </c>
      <c r="CT12">
        <v>137083.43137254901</v>
      </c>
      <c r="CU12">
        <v>306601.25490196078</v>
      </c>
      <c r="CV12">
        <v>287979.54901960777</v>
      </c>
      <c r="CW12">
        <v>126407.9803921569</v>
      </c>
      <c r="CX12">
        <v>258905.5294117647</v>
      </c>
      <c r="CY12">
        <v>4879.0588235294117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CB70-8DD6-4BC8-9E81-9ABD44E09751}">
  <dimension ref="A1:J66"/>
  <sheetViews>
    <sheetView tabSelected="1" topLeftCell="A31" workbookViewId="0">
      <selection activeCell="G25" sqref="G25"/>
    </sheetView>
  </sheetViews>
  <sheetFormatPr defaultRowHeight="15" x14ac:dyDescent="0.25"/>
  <sheetData>
    <row r="1" spans="1:4" x14ac:dyDescent="0.25">
      <c r="A1" t="s">
        <v>23</v>
      </c>
    </row>
    <row r="3" spans="1:4" x14ac:dyDescent="0.25">
      <c r="A3" t="s">
        <v>24</v>
      </c>
      <c r="B3" t="s">
        <v>21</v>
      </c>
      <c r="C3" t="s">
        <v>22</v>
      </c>
      <c r="D3" t="s">
        <v>25</v>
      </c>
    </row>
    <row r="4" spans="1:4" ht="15.75" thickBot="1" x14ac:dyDescent="0.3">
      <c r="A4" s="12" t="s">
        <v>1</v>
      </c>
      <c r="B4" s="12"/>
      <c r="C4" s="12"/>
      <c r="D4" s="12"/>
    </row>
    <row r="5" spans="1:4" x14ac:dyDescent="0.25">
      <c r="A5" s="11" t="s">
        <v>26</v>
      </c>
      <c r="B5" s="11">
        <v>2</v>
      </c>
      <c r="C5" s="11">
        <v>2</v>
      </c>
      <c r="D5" s="11">
        <v>4</v>
      </c>
    </row>
    <row r="6" spans="1:4" x14ac:dyDescent="0.25">
      <c r="A6" s="11" t="s">
        <v>27</v>
      </c>
      <c r="B6" s="11">
        <v>458355.02040816331</v>
      </c>
      <c r="C6" s="11">
        <v>4469066.2373581007</v>
      </c>
      <c r="D6" s="11">
        <v>4927421.2577662636</v>
      </c>
    </row>
    <row r="7" spans="1:4" x14ac:dyDescent="0.25">
      <c r="A7" s="11" t="s">
        <v>13</v>
      </c>
      <c r="B7" s="11">
        <v>229177.51020408166</v>
      </c>
      <c r="C7" s="11">
        <v>2234533.1186790504</v>
      </c>
      <c r="D7" s="11">
        <v>1231855.3144415659</v>
      </c>
    </row>
    <row r="8" spans="1:4" x14ac:dyDescent="0.25">
      <c r="A8" s="11" t="s">
        <v>28</v>
      </c>
      <c r="B8" s="11">
        <v>46206453.982715271</v>
      </c>
      <c r="C8" s="11">
        <v>14617968815.445084</v>
      </c>
      <c r="D8" s="11">
        <v>1345371763903.8132</v>
      </c>
    </row>
    <row r="9" spans="1:4" x14ac:dyDescent="0.25">
      <c r="A9" s="11"/>
      <c r="B9" s="11"/>
      <c r="C9" s="11"/>
      <c r="D9" s="11"/>
    </row>
    <row r="10" spans="1:4" ht="15.75" thickBot="1" x14ac:dyDescent="0.3">
      <c r="A10" s="12" t="s">
        <v>2</v>
      </c>
      <c r="B10" s="12"/>
      <c r="C10" s="12"/>
      <c r="D10" s="12"/>
    </row>
    <row r="11" spans="1:4" x14ac:dyDescent="0.25">
      <c r="A11" s="11" t="s">
        <v>26</v>
      </c>
      <c r="B11" s="11">
        <v>2</v>
      </c>
      <c r="C11" s="11">
        <v>2</v>
      </c>
      <c r="D11" s="11">
        <v>4</v>
      </c>
    </row>
    <row r="12" spans="1:4" x14ac:dyDescent="0.25">
      <c r="A12" s="11" t="s">
        <v>27</v>
      </c>
      <c r="B12" s="11">
        <v>400598.06122448982</v>
      </c>
      <c r="C12" s="11">
        <v>3451107.5490196077</v>
      </c>
      <c r="D12" s="11">
        <v>3851705.6102440981</v>
      </c>
    </row>
    <row r="13" spans="1:4" x14ac:dyDescent="0.25">
      <c r="A13" s="11" t="s">
        <v>13</v>
      </c>
      <c r="B13" s="11">
        <v>200299.03061224491</v>
      </c>
      <c r="C13" s="11">
        <v>1725553.7745098039</v>
      </c>
      <c r="D13" s="11">
        <v>962926.40256102453</v>
      </c>
    </row>
    <row r="14" spans="1:4" x14ac:dyDescent="0.25">
      <c r="A14" s="11" t="s">
        <v>28</v>
      </c>
      <c r="B14" s="11">
        <v>13095499.755101616</v>
      </c>
      <c r="C14" s="11">
        <v>13264486467.076145</v>
      </c>
      <c r="D14" s="11">
        <v>779893205249.61328</v>
      </c>
    </row>
    <row r="15" spans="1:4" x14ac:dyDescent="0.25">
      <c r="A15" s="11"/>
      <c r="B15" s="11"/>
      <c r="C15" s="11"/>
      <c r="D15" s="11"/>
    </row>
    <row r="16" spans="1:4" ht="15.75" thickBot="1" x14ac:dyDescent="0.3">
      <c r="A16" s="12" t="s">
        <v>3</v>
      </c>
      <c r="B16" s="12"/>
      <c r="C16" s="12"/>
      <c r="D16" s="12"/>
    </row>
    <row r="17" spans="1:4" x14ac:dyDescent="0.25">
      <c r="A17" s="11" t="s">
        <v>26</v>
      </c>
      <c r="B17" s="11">
        <v>2</v>
      </c>
      <c r="C17" s="11">
        <v>2</v>
      </c>
      <c r="D17" s="11">
        <v>4</v>
      </c>
    </row>
    <row r="18" spans="1:4" x14ac:dyDescent="0.25">
      <c r="A18" s="11" t="s">
        <v>27</v>
      </c>
      <c r="B18" s="11">
        <v>802389.7142857142</v>
      </c>
      <c r="C18" s="11">
        <v>6187714.9700722396</v>
      </c>
      <c r="D18" s="11">
        <v>6990104.6843579542</v>
      </c>
    </row>
    <row r="19" spans="1:4" x14ac:dyDescent="0.25">
      <c r="A19" s="11" t="s">
        <v>13</v>
      </c>
      <c r="B19" s="11">
        <v>401194.8571428571</v>
      </c>
      <c r="C19" s="11">
        <v>3093857.4850361198</v>
      </c>
      <c r="D19" s="11">
        <v>1747526.1710894885</v>
      </c>
    </row>
    <row r="20" spans="1:4" x14ac:dyDescent="0.25">
      <c r="A20" s="11" t="s">
        <v>28</v>
      </c>
      <c r="B20" s="11">
        <v>3.5193669283025586E-2</v>
      </c>
      <c r="C20" s="11">
        <v>0.26241984475597702</v>
      </c>
      <c r="D20" s="11">
        <v>2416810675884.4492</v>
      </c>
    </row>
    <row r="21" spans="1:4" x14ac:dyDescent="0.25">
      <c r="A21" s="11"/>
      <c r="B21" s="11"/>
      <c r="C21" s="11"/>
      <c r="D21" s="11"/>
    </row>
    <row r="22" spans="1:4" ht="15.75" thickBot="1" x14ac:dyDescent="0.3">
      <c r="A22" s="12" t="s">
        <v>4</v>
      </c>
      <c r="B22" s="12"/>
      <c r="C22" s="12"/>
      <c r="D22" s="12"/>
    </row>
    <row r="23" spans="1:4" x14ac:dyDescent="0.25">
      <c r="A23" s="11" t="s">
        <v>26</v>
      </c>
      <c r="B23" s="11">
        <v>2</v>
      </c>
      <c r="C23" s="11">
        <v>2</v>
      </c>
      <c r="D23" s="11">
        <v>4</v>
      </c>
    </row>
    <row r="24" spans="1:4" x14ac:dyDescent="0.25">
      <c r="A24" s="11" t="s">
        <v>27</v>
      </c>
      <c r="B24" s="11">
        <v>785147.35714285704</v>
      </c>
      <c r="C24" s="11">
        <v>5566068.8813209496</v>
      </c>
      <c r="D24" s="11">
        <v>6351216.2384638079</v>
      </c>
    </row>
    <row r="25" spans="1:4" x14ac:dyDescent="0.25">
      <c r="A25" s="11" t="s">
        <v>13</v>
      </c>
      <c r="B25" s="11">
        <v>392573.67857142852</v>
      </c>
      <c r="C25" s="11">
        <v>2783034.4406604748</v>
      </c>
      <c r="D25" s="11">
        <v>1587804.059615952</v>
      </c>
    </row>
    <row r="26" spans="1:4" x14ac:dyDescent="0.25">
      <c r="A26" s="11" t="s">
        <v>28</v>
      </c>
      <c r="B26" s="11">
        <v>6684705995.5865479</v>
      </c>
      <c r="C26" s="11">
        <v>15645965238.306053</v>
      </c>
      <c r="D26" s="11">
        <v>1912211108773.7449</v>
      </c>
    </row>
    <row r="27" spans="1:4" x14ac:dyDescent="0.25">
      <c r="A27" s="11"/>
      <c r="B27" s="11"/>
      <c r="C27" s="11"/>
      <c r="D27" s="11"/>
    </row>
    <row r="28" spans="1:4" ht="15.75" thickBot="1" x14ac:dyDescent="0.3">
      <c r="A28" s="12" t="s">
        <v>5</v>
      </c>
      <c r="B28" s="12"/>
      <c r="C28" s="12"/>
      <c r="D28" s="12"/>
    </row>
    <row r="29" spans="1:4" x14ac:dyDescent="0.25">
      <c r="A29" s="11" t="s">
        <v>26</v>
      </c>
      <c r="B29" s="11">
        <v>2</v>
      </c>
      <c r="C29" s="11">
        <v>2</v>
      </c>
      <c r="D29" s="11">
        <v>4</v>
      </c>
    </row>
    <row r="30" spans="1:4" x14ac:dyDescent="0.25">
      <c r="A30" s="11" t="s">
        <v>27</v>
      </c>
      <c r="B30" s="11">
        <v>849572.40816326533</v>
      </c>
      <c r="C30" s="11">
        <v>5455025.62125903</v>
      </c>
      <c r="D30" s="11">
        <v>6304598.0294222953</v>
      </c>
    </row>
    <row r="31" spans="1:4" x14ac:dyDescent="0.25">
      <c r="A31" s="11" t="s">
        <v>13</v>
      </c>
      <c r="B31" s="11">
        <v>424786.20408163266</v>
      </c>
      <c r="C31" s="11">
        <v>2727512.810629515</v>
      </c>
      <c r="D31" s="11">
        <v>1576149.5073555738</v>
      </c>
    </row>
    <row r="32" spans="1:4" x14ac:dyDescent="0.25">
      <c r="A32" s="11" t="s">
        <v>28</v>
      </c>
      <c r="B32" s="11">
        <v>872076641.42024016</v>
      </c>
      <c r="C32" s="11">
        <v>105928506221.64499</v>
      </c>
      <c r="D32" s="11">
        <v>1803116802455.5293</v>
      </c>
    </row>
    <row r="33" spans="1:4" x14ac:dyDescent="0.25">
      <c r="A33" s="11"/>
      <c r="B33" s="11"/>
      <c r="C33" s="11"/>
      <c r="D33" s="11"/>
    </row>
    <row r="34" spans="1:4" ht="15.75" thickBot="1" x14ac:dyDescent="0.3">
      <c r="A34" s="12" t="s">
        <v>6</v>
      </c>
      <c r="B34" s="12"/>
      <c r="C34" s="12"/>
      <c r="D34" s="12"/>
    </row>
    <row r="35" spans="1:4" x14ac:dyDescent="0.25">
      <c r="A35" s="11" t="s">
        <v>26</v>
      </c>
      <c r="B35" s="11">
        <v>2</v>
      </c>
      <c r="C35" s="11">
        <v>2</v>
      </c>
      <c r="D35" s="11">
        <v>4</v>
      </c>
    </row>
    <row r="36" spans="1:4" x14ac:dyDescent="0.25">
      <c r="A36" s="11" t="s">
        <v>27</v>
      </c>
      <c r="B36" s="11">
        <v>739506.68367346923</v>
      </c>
      <c r="C36" s="11">
        <v>6465111.2270381842</v>
      </c>
      <c r="D36" s="11">
        <v>7204617.9107116535</v>
      </c>
    </row>
    <row r="37" spans="1:4" x14ac:dyDescent="0.25">
      <c r="A37" s="11" t="s">
        <v>13</v>
      </c>
      <c r="B37" s="11">
        <v>369753.34183673462</v>
      </c>
      <c r="C37" s="11">
        <v>3232555.6135190921</v>
      </c>
      <c r="D37" s="11">
        <v>1801154.4776779134</v>
      </c>
    </row>
    <row r="38" spans="1:4" x14ac:dyDescent="0.25">
      <c r="A38" s="11" t="s">
        <v>28</v>
      </c>
      <c r="B38" s="11">
        <v>39536585138.890533</v>
      </c>
      <c r="C38" s="11">
        <v>136679094861.62349</v>
      </c>
      <c r="D38" s="11">
        <v>2790617508916.7261</v>
      </c>
    </row>
    <row r="39" spans="1:4" x14ac:dyDescent="0.25">
      <c r="A39" s="11"/>
      <c r="B39" s="11"/>
      <c r="C39" s="11"/>
      <c r="D39" s="11"/>
    </row>
    <row r="40" spans="1:4" ht="15.75" thickBot="1" x14ac:dyDescent="0.3">
      <c r="A40" s="12" t="s">
        <v>7</v>
      </c>
      <c r="B40" s="12"/>
      <c r="C40" s="12"/>
      <c r="D40" s="12"/>
    </row>
    <row r="41" spans="1:4" x14ac:dyDescent="0.25">
      <c r="A41" s="11" t="s">
        <v>26</v>
      </c>
      <c r="B41" s="11">
        <v>2</v>
      </c>
      <c r="C41" s="11">
        <v>2</v>
      </c>
      <c r="D41" s="11">
        <v>4</v>
      </c>
    </row>
    <row r="42" spans="1:4" x14ac:dyDescent="0.25">
      <c r="A42" s="11" t="s">
        <v>27</v>
      </c>
      <c r="B42" s="11">
        <v>625172.59183673467</v>
      </c>
      <c r="C42" s="11">
        <v>6170456.9308565538</v>
      </c>
      <c r="D42" s="11">
        <v>6795629.5226932885</v>
      </c>
    </row>
    <row r="43" spans="1:4" x14ac:dyDescent="0.25">
      <c r="A43" s="11" t="s">
        <v>13</v>
      </c>
      <c r="B43" s="11">
        <v>312586.29591836734</v>
      </c>
      <c r="C43" s="11">
        <v>3085228.4654282769</v>
      </c>
      <c r="D43" s="11">
        <v>1698907.3806733221</v>
      </c>
    </row>
    <row r="44" spans="1:4" x14ac:dyDescent="0.25">
      <c r="A44" s="11" t="s">
        <v>28</v>
      </c>
      <c r="B44" s="11">
        <v>4490954962.0732422</v>
      </c>
      <c r="C44" s="11">
        <v>276324293296.12109</v>
      </c>
      <c r="D44" s="11">
        <v>2656119949467.603</v>
      </c>
    </row>
    <row r="45" spans="1:4" x14ac:dyDescent="0.25">
      <c r="A45" s="11"/>
      <c r="B45" s="11"/>
      <c r="C45" s="11"/>
      <c r="D45" s="11"/>
    </row>
    <row r="46" spans="1:4" ht="15.75" thickBot="1" x14ac:dyDescent="0.3">
      <c r="A46" s="12" t="s">
        <v>8</v>
      </c>
      <c r="B46" s="12"/>
      <c r="C46" s="12"/>
      <c r="D46" s="12"/>
    </row>
    <row r="47" spans="1:4" x14ac:dyDescent="0.25">
      <c r="A47" s="11" t="s">
        <v>26</v>
      </c>
      <c r="B47" s="11">
        <v>2</v>
      </c>
      <c r="C47" s="11">
        <v>2</v>
      </c>
      <c r="D47" s="11">
        <v>4</v>
      </c>
    </row>
    <row r="48" spans="1:4" x14ac:dyDescent="0.25">
      <c r="A48" s="11" t="s">
        <v>27</v>
      </c>
      <c r="B48" s="11">
        <v>710886.40816326533</v>
      </c>
      <c r="C48" s="11">
        <v>6513844.0773993805</v>
      </c>
      <c r="D48" s="11">
        <v>7224730.4855626468</v>
      </c>
    </row>
    <row r="49" spans="1:10" x14ac:dyDescent="0.25">
      <c r="A49" s="11" t="s">
        <v>13</v>
      </c>
      <c r="B49" s="11">
        <v>355443.20408163266</v>
      </c>
      <c r="C49" s="11">
        <v>3256922.0386996903</v>
      </c>
      <c r="D49" s="11">
        <v>1806182.6213906617</v>
      </c>
    </row>
    <row r="50" spans="1:10" x14ac:dyDescent="0.25">
      <c r="A50" s="11" t="s">
        <v>28</v>
      </c>
      <c r="B50" s="11">
        <v>3459077656.478302</v>
      </c>
      <c r="C50" s="11">
        <v>51630419739.757904</v>
      </c>
      <c r="D50" s="11">
        <v>2824556308377.5991</v>
      </c>
    </row>
    <row r="51" spans="1:10" x14ac:dyDescent="0.25">
      <c r="A51" s="11"/>
      <c r="B51" s="11"/>
      <c r="C51" s="11"/>
      <c r="D51" s="11"/>
    </row>
    <row r="52" spans="1:10" ht="15.75" thickBot="1" x14ac:dyDescent="0.3">
      <c r="A52" s="12" t="s">
        <v>25</v>
      </c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25">
      <c r="A53" s="11" t="s">
        <v>26</v>
      </c>
      <c r="B53" s="11">
        <v>16</v>
      </c>
      <c r="C53" s="11">
        <v>16</v>
      </c>
      <c r="D53" s="11"/>
      <c r="E53" s="11"/>
      <c r="F53" s="11"/>
      <c r="G53" s="11"/>
      <c r="H53" s="11"/>
      <c r="I53" s="11"/>
      <c r="J53" s="11"/>
    </row>
    <row r="54" spans="1:10" x14ac:dyDescent="0.25">
      <c r="A54" s="11" t="s">
        <v>27</v>
      </c>
      <c r="B54" s="11">
        <v>5371628.2448979588</v>
      </c>
      <c r="C54" s="11">
        <v>44278395.494324051</v>
      </c>
      <c r="D54" s="11"/>
      <c r="E54" s="11"/>
      <c r="F54" s="11"/>
      <c r="G54" s="11"/>
      <c r="H54" s="11"/>
      <c r="I54" s="11"/>
      <c r="J54" s="11"/>
    </row>
    <row r="55" spans="1:10" x14ac:dyDescent="0.25">
      <c r="A55" s="11" t="s">
        <v>13</v>
      </c>
      <c r="B55" s="11">
        <v>335726.76530612243</v>
      </c>
      <c r="C55" s="11">
        <v>2767399.7183952532</v>
      </c>
      <c r="D55" s="11"/>
      <c r="E55" s="11"/>
      <c r="F55" s="11"/>
      <c r="G55" s="11"/>
      <c r="H55" s="11"/>
      <c r="I55" s="11"/>
      <c r="J55" s="11"/>
    </row>
    <row r="56" spans="1:10" x14ac:dyDescent="0.25">
      <c r="A56" s="11" t="s">
        <v>28</v>
      </c>
      <c r="B56" s="11">
        <v>9970135957.9518394</v>
      </c>
      <c r="C56" s="11">
        <v>312248327445.41669</v>
      </c>
      <c r="D56" s="11"/>
      <c r="E56" s="11"/>
      <c r="F56" s="11"/>
      <c r="G56" s="11"/>
      <c r="H56" s="11"/>
      <c r="I56" s="11"/>
      <c r="J56" s="11"/>
    </row>
    <row r="57" spans="1:10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9" spans="1:10" ht="15.75" thickBot="1" x14ac:dyDescent="0.3">
      <c r="A59" t="s">
        <v>29</v>
      </c>
    </row>
    <row r="60" spans="1:10" x14ac:dyDescent="0.25">
      <c r="A60" s="14" t="s">
        <v>30</v>
      </c>
      <c r="B60" s="14" t="s">
        <v>31</v>
      </c>
      <c r="C60" s="14" t="s">
        <v>32</v>
      </c>
      <c r="D60" s="14" t="s">
        <v>33</v>
      </c>
      <c r="E60" s="14" t="s">
        <v>34</v>
      </c>
      <c r="F60" s="14" t="s">
        <v>35</v>
      </c>
      <c r="G60" s="14" t="s">
        <v>36</v>
      </c>
    </row>
    <row r="61" spans="1:10" x14ac:dyDescent="0.25">
      <c r="A61" s="11" t="s">
        <v>37</v>
      </c>
      <c r="B61" s="11">
        <v>2551451788245.0156</v>
      </c>
      <c r="C61" s="11">
        <v>7</v>
      </c>
      <c r="D61" s="11">
        <v>364493112606.43079</v>
      </c>
      <c r="E61" s="11">
        <v>8.7148042394855381</v>
      </c>
      <c r="F61" s="11">
        <v>1.8540619062437546E-4</v>
      </c>
      <c r="G61" s="11">
        <v>2.6571966002210874</v>
      </c>
    </row>
    <row r="62" spans="1:10" x14ac:dyDescent="0.25">
      <c r="A62" s="11" t="s">
        <v>38</v>
      </c>
      <c r="B62" s="11">
        <v>47304266806281.711</v>
      </c>
      <c r="C62" s="11">
        <v>1</v>
      </c>
      <c r="D62" s="11">
        <v>47304266806281.711</v>
      </c>
      <c r="E62" s="11">
        <v>1131.0156780774944</v>
      </c>
      <c r="F62" s="11">
        <v>2.8327827958412678E-16</v>
      </c>
      <c r="G62" s="11">
        <v>4.4939984776663584</v>
      </c>
    </row>
    <row r="63" spans="1:10" x14ac:dyDescent="0.25">
      <c r="A63" s="11" t="s">
        <v>39</v>
      </c>
      <c r="B63" s="11">
        <v>1612631725817.0754</v>
      </c>
      <c r="C63" s="11">
        <v>7</v>
      </c>
      <c r="D63" s="11">
        <v>230375960831.01077</v>
      </c>
      <c r="E63" s="11">
        <v>5.5081463289362169</v>
      </c>
      <c r="F63" s="11">
        <v>2.2905092570688853E-3</v>
      </c>
      <c r="G63" s="11">
        <v>2.6571966002210874</v>
      </c>
    </row>
    <row r="64" spans="1:10" x14ac:dyDescent="0.25">
      <c r="A64" s="11" t="s">
        <v>40</v>
      </c>
      <c r="B64" s="11">
        <v>669193436988.45581</v>
      </c>
      <c r="C64" s="11">
        <v>16</v>
      </c>
      <c r="D64" s="11">
        <v>41824589811.778488</v>
      </c>
      <c r="E64" s="11"/>
      <c r="F64" s="11"/>
      <c r="G64" s="11"/>
    </row>
    <row r="65" spans="1:7" x14ac:dyDescent="0.25">
      <c r="A65" s="11"/>
      <c r="B65" s="11"/>
      <c r="C65" s="11"/>
      <c r="D65" s="11"/>
      <c r="E65" s="11"/>
      <c r="F65" s="11"/>
      <c r="G65" s="11"/>
    </row>
    <row r="66" spans="1:7" ht="15.75" thickBot="1" x14ac:dyDescent="0.3">
      <c r="A66" s="13" t="s">
        <v>25</v>
      </c>
      <c r="B66" s="13">
        <v>52137543757332.258</v>
      </c>
      <c r="C66" s="13">
        <v>31</v>
      </c>
      <c r="D66" s="13"/>
      <c r="E66" s="13"/>
      <c r="F66" s="13"/>
      <c r="G66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"/>
  <sheetViews>
    <sheetView topLeftCell="A31" workbookViewId="0">
      <selection activeCell="O54" sqref="O54"/>
    </sheetView>
  </sheetViews>
  <sheetFormatPr defaultRowHeight="15" x14ac:dyDescent="0.25"/>
  <sheetData>
    <row r="1" spans="1:4" x14ac:dyDescent="0.25">
      <c r="A1" t="s">
        <v>23</v>
      </c>
    </row>
    <row r="3" spans="1:4" x14ac:dyDescent="0.25">
      <c r="A3" t="s">
        <v>24</v>
      </c>
      <c r="B3" t="s">
        <v>21</v>
      </c>
      <c r="C3" t="s">
        <v>22</v>
      </c>
      <c r="D3" t="s">
        <v>25</v>
      </c>
    </row>
    <row r="4" spans="1:4" ht="15.75" customHeight="1" thickBot="1" x14ac:dyDescent="0.3">
      <c r="A4" s="8" t="s">
        <v>1</v>
      </c>
      <c r="B4" s="8"/>
      <c r="C4" s="8"/>
      <c r="D4" s="8"/>
    </row>
    <row r="5" spans="1:4" x14ac:dyDescent="0.25">
      <c r="A5" t="s">
        <v>26</v>
      </c>
      <c r="B5">
        <v>2</v>
      </c>
      <c r="C5">
        <v>2</v>
      </c>
      <c r="D5">
        <v>4</v>
      </c>
    </row>
    <row r="6" spans="1:4" x14ac:dyDescent="0.25">
      <c r="A6" t="s">
        <v>27</v>
      </c>
      <c r="B6">
        <v>9264550626.6291885</v>
      </c>
      <c r="C6">
        <v>24254928450.547691</v>
      </c>
      <c r="D6">
        <v>33519479077.17688</v>
      </c>
    </row>
    <row r="7" spans="1:4" x14ac:dyDescent="0.25">
      <c r="A7" t="s">
        <v>13</v>
      </c>
      <c r="B7">
        <v>4632275313.3145943</v>
      </c>
      <c r="C7">
        <v>12127464225.273849</v>
      </c>
      <c r="D7">
        <v>8379869769.29422</v>
      </c>
    </row>
    <row r="8" spans="1:4" x14ac:dyDescent="0.25">
      <c r="A8" t="s">
        <v>28</v>
      </c>
      <c r="B8">
        <v>3.5848956367239808E+16</v>
      </c>
      <c r="C8">
        <v>1.260695717743787E+18</v>
      </c>
      <c r="D8">
        <v>1.915813383335596E+19</v>
      </c>
    </row>
    <row r="10" spans="1:4" ht="15.75" customHeight="1" thickBot="1" x14ac:dyDescent="0.3">
      <c r="A10" s="8" t="s">
        <v>2</v>
      </c>
      <c r="B10" s="8"/>
      <c r="C10" s="8"/>
      <c r="D10" s="8"/>
    </row>
    <row r="11" spans="1:4" x14ac:dyDescent="0.25">
      <c r="A11" t="s">
        <v>26</v>
      </c>
      <c r="B11">
        <v>2</v>
      </c>
      <c r="C11">
        <v>2</v>
      </c>
      <c r="D11">
        <v>4</v>
      </c>
    </row>
    <row r="12" spans="1:4" x14ac:dyDescent="0.25">
      <c r="A12" t="s">
        <v>27</v>
      </c>
      <c r="B12">
        <v>9114009439.1666679</v>
      </c>
      <c r="C12">
        <v>30938015352.500011</v>
      </c>
      <c r="D12">
        <v>40052024791.666672</v>
      </c>
    </row>
    <row r="13" spans="1:4" x14ac:dyDescent="0.25">
      <c r="A13" t="s">
        <v>13</v>
      </c>
      <c r="B13">
        <v>4557004719.583334</v>
      </c>
      <c r="C13">
        <v>15469007676.25</v>
      </c>
      <c r="D13">
        <v>10013006197.91667</v>
      </c>
    </row>
    <row r="14" spans="1:4" x14ac:dyDescent="0.25">
      <c r="A14" t="s">
        <v>28</v>
      </c>
      <c r="B14">
        <v>1.475622745068566E+16</v>
      </c>
      <c r="C14">
        <v>8.4166127207465293E+17</v>
      </c>
      <c r="D14">
        <v>3.9976075341942546E+19</v>
      </c>
    </row>
    <row r="16" spans="1:4" ht="15.75" customHeight="1" thickBot="1" x14ac:dyDescent="0.3">
      <c r="A16" s="8" t="s">
        <v>3</v>
      </c>
      <c r="B16" s="8"/>
      <c r="C16" s="8"/>
      <c r="D16" s="8"/>
    </row>
    <row r="17" spans="1:4" x14ac:dyDescent="0.25">
      <c r="A17" t="s">
        <v>26</v>
      </c>
      <c r="B17">
        <v>2</v>
      </c>
      <c r="C17">
        <v>2</v>
      </c>
      <c r="D17">
        <v>4</v>
      </c>
    </row>
    <row r="18" spans="1:4" x14ac:dyDescent="0.25">
      <c r="A18" t="s">
        <v>27</v>
      </c>
      <c r="B18">
        <v>9056473343.333334</v>
      </c>
      <c r="C18">
        <v>54891557856.666656</v>
      </c>
      <c r="D18">
        <v>63948031199.999992</v>
      </c>
    </row>
    <row r="19" spans="1:4" x14ac:dyDescent="0.25">
      <c r="A19" t="s">
        <v>13</v>
      </c>
      <c r="B19">
        <v>4528236671.666667</v>
      </c>
      <c r="C19">
        <v>27445778928.333328</v>
      </c>
      <c r="D19">
        <v>15987007800</v>
      </c>
    </row>
    <row r="20" spans="1:4" x14ac:dyDescent="0.25">
      <c r="A20" t="s">
        <v>28</v>
      </c>
      <c r="B20">
        <v>151119112.5</v>
      </c>
      <c r="C20">
        <v>1507005000</v>
      </c>
      <c r="D20">
        <v>1.7507124769592001E+20</v>
      </c>
    </row>
    <row r="22" spans="1:4" ht="15.75" customHeight="1" thickBot="1" x14ac:dyDescent="0.3">
      <c r="A22" s="8" t="s">
        <v>4</v>
      </c>
      <c r="B22" s="8"/>
      <c r="C22" s="8"/>
      <c r="D22" s="8"/>
    </row>
    <row r="23" spans="1:4" x14ac:dyDescent="0.25">
      <c r="A23" t="s">
        <v>26</v>
      </c>
      <c r="B23">
        <v>2</v>
      </c>
      <c r="C23">
        <v>2</v>
      </c>
      <c r="D23">
        <v>4</v>
      </c>
    </row>
    <row r="24" spans="1:4" x14ac:dyDescent="0.25">
      <c r="A24" t="s">
        <v>27</v>
      </c>
      <c r="B24">
        <v>12284760835</v>
      </c>
      <c r="C24">
        <v>43169339118.333344</v>
      </c>
      <c r="D24">
        <v>55454099953.333344</v>
      </c>
    </row>
    <row r="25" spans="1:4" x14ac:dyDescent="0.25">
      <c r="A25" t="s">
        <v>13</v>
      </c>
      <c r="B25">
        <v>6142380417.5</v>
      </c>
      <c r="C25">
        <v>21584669559.166672</v>
      </c>
      <c r="D25">
        <v>13863524988.33333</v>
      </c>
    </row>
    <row r="26" spans="1:4" x14ac:dyDescent="0.25">
      <c r="A26" t="s">
        <v>28</v>
      </c>
      <c r="B26">
        <v>8.0177592364490752E+17</v>
      </c>
      <c r="C26">
        <v>9.369966987073792E+18</v>
      </c>
      <c r="D26">
        <v>8.2878678948518347E+19</v>
      </c>
    </row>
    <row r="28" spans="1:4" ht="15.75" customHeight="1" thickBot="1" x14ac:dyDescent="0.3">
      <c r="A28" s="8" t="s">
        <v>5</v>
      </c>
      <c r="B28" s="8"/>
      <c r="C28" s="8"/>
      <c r="D28" s="8"/>
    </row>
    <row r="29" spans="1:4" x14ac:dyDescent="0.25">
      <c r="A29" t="s">
        <v>26</v>
      </c>
      <c r="B29">
        <v>2</v>
      </c>
      <c r="C29">
        <v>2</v>
      </c>
      <c r="D29">
        <v>4</v>
      </c>
    </row>
    <row r="30" spans="1:4" x14ac:dyDescent="0.25">
      <c r="A30" t="s">
        <v>27</v>
      </c>
      <c r="B30">
        <v>9664686195.833334</v>
      </c>
      <c r="C30">
        <v>41469412224.166656</v>
      </c>
      <c r="D30">
        <v>51134098420</v>
      </c>
    </row>
    <row r="31" spans="1:4" x14ac:dyDescent="0.25">
      <c r="A31" t="s">
        <v>13</v>
      </c>
      <c r="B31">
        <v>4832343097.916667</v>
      </c>
      <c r="C31">
        <v>20734706112.083328</v>
      </c>
      <c r="D31">
        <v>12783524605</v>
      </c>
    </row>
    <row r="32" spans="1:4" x14ac:dyDescent="0.25">
      <c r="A32" t="s">
        <v>28</v>
      </c>
      <c r="B32">
        <v>10113539494878.119</v>
      </c>
      <c r="C32">
        <v>3.1998114894430669E+17</v>
      </c>
      <c r="D32">
        <v>8.4401713565606478E+19</v>
      </c>
    </row>
    <row r="34" spans="1:4" ht="15.75" customHeight="1" thickBot="1" x14ac:dyDescent="0.3">
      <c r="A34" s="8" t="s">
        <v>6</v>
      </c>
      <c r="B34" s="8"/>
      <c r="C34" s="8"/>
      <c r="D34" s="8"/>
    </row>
    <row r="35" spans="1:4" x14ac:dyDescent="0.25">
      <c r="A35" t="s">
        <v>26</v>
      </c>
      <c r="B35">
        <v>2</v>
      </c>
      <c r="C35">
        <v>2</v>
      </c>
      <c r="D35">
        <v>4</v>
      </c>
    </row>
    <row r="36" spans="1:4" x14ac:dyDescent="0.25">
      <c r="A36" t="s">
        <v>27</v>
      </c>
      <c r="B36">
        <v>14274289510</v>
      </c>
      <c r="C36">
        <v>47974047190</v>
      </c>
      <c r="D36">
        <v>62248336700</v>
      </c>
    </row>
    <row r="37" spans="1:4" x14ac:dyDescent="0.25">
      <c r="A37" t="s">
        <v>13</v>
      </c>
      <c r="B37">
        <v>7137144755</v>
      </c>
      <c r="C37">
        <v>23987023595</v>
      </c>
      <c r="D37">
        <v>15562084175</v>
      </c>
    </row>
    <row r="38" spans="1:4" x14ac:dyDescent="0.25">
      <c r="A38" t="s">
        <v>28</v>
      </c>
      <c r="B38">
        <v>1.6384372723872891E+18</v>
      </c>
      <c r="C38">
        <v>2.8240347586027808E+16</v>
      </c>
      <c r="D38">
        <v>9.519503151421766E+19</v>
      </c>
    </row>
    <row r="40" spans="1:4" ht="15.75" customHeight="1" thickBot="1" x14ac:dyDescent="0.3">
      <c r="A40" s="8" t="s">
        <v>7</v>
      </c>
      <c r="B40" s="8"/>
      <c r="C40" s="8"/>
      <c r="D40" s="8"/>
    </row>
    <row r="41" spans="1:4" x14ac:dyDescent="0.25">
      <c r="A41" t="s">
        <v>26</v>
      </c>
      <c r="B41">
        <v>2</v>
      </c>
      <c r="C41">
        <v>2</v>
      </c>
      <c r="D41">
        <v>4</v>
      </c>
    </row>
    <row r="42" spans="1:4" x14ac:dyDescent="0.25">
      <c r="A42" t="s">
        <v>27</v>
      </c>
      <c r="B42">
        <v>10566981660.83333</v>
      </c>
      <c r="C42">
        <v>46868767355.000023</v>
      </c>
      <c r="D42">
        <v>57435749015.833344</v>
      </c>
    </row>
    <row r="43" spans="1:4" x14ac:dyDescent="0.25">
      <c r="A43" t="s">
        <v>13</v>
      </c>
      <c r="B43">
        <v>5283490830.416666</v>
      </c>
      <c r="C43">
        <v>23434383677.500011</v>
      </c>
      <c r="D43">
        <v>14358937253.95834</v>
      </c>
    </row>
    <row r="44" spans="1:4" x14ac:dyDescent="0.25">
      <c r="A44" t="s">
        <v>28</v>
      </c>
      <c r="B44">
        <v>5.167689923680112E+16</v>
      </c>
      <c r="C44">
        <v>3.7737348768359392E+17</v>
      </c>
      <c r="D44">
        <v>1.0996132051107389E+20</v>
      </c>
    </row>
    <row r="46" spans="1:4" ht="15.75" customHeight="1" thickBot="1" x14ac:dyDescent="0.3">
      <c r="A46" s="8" t="s">
        <v>8</v>
      </c>
      <c r="B46" s="8"/>
      <c r="C46" s="8"/>
      <c r="D46" s="8"/>
    </row>
    <row r="47" spans="1:4" x14ac:dyDescent="0.25">
      <c r="A47" t="s">
        <v>26</v>
      </c>
      <c r="B47">
        <v>2</v>
      </c>
      <c r="C47">
        <v>2</v>
      </c>
      <c r="D47">
        <v>4</v>
      </c>
    </row>
    <row r="48" spans="1:4" x14ac:dyDescent="0.25">
      <c r="A48" t="s">
        <v>27</v>
      </c>
      <c r="B48">
        <v>11540577650</v>
      </c>
      <c r="C48">
        <v>50023977243.333344</v>
      </c>
      <c r="D48">
        <v>61564554893.333344</v>
      </c>
    </row>
    <row r="49" spans="1:10" x14ac:dyDescent="0.25">
      <c r="A49" t="s">
        <v>13</v>
      </c>
      <c r="B49">
        <v>5770288825</v>
      </c>
      <c r="C49">
        <v>25011988621.666672</v>
      </c>
      <c r="D49">
        <v>15391138723.33334</v>
      </c>
    </row>
    <row r="50" spans="1:10" x14ac:dyDescent="0.25">
      <c r="A50" t="s">
        <v>28</v>
      </c>
      <c r="B50">
        <v>2.6604154600261059E+18</v>
      </c>
      <c r="C50">
        <v>3.212574149407932E+19</v>
      </c>
      <c r="D50">
        <v>1.3500972267304921E+20</v>
      </c>
    </row>
    <row r="52" spans="1:10" ht="15.75" customHeight="1" thickBot="1" x14ac:dyDescent="0.3">
      <c r="A52" s="8" t="s">
        <v>25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t="s">
        <v>26</v>
      </c>
      <c r="B53">
        <v>16</v>
      </c>
      <c r="C53">
        <v>16</v>
      </c>
    </row>
    <row r="54" spans="1:10" x14ac:dyDescent="0.25">
      <c r="A54" t="s">
        <v>27</v>
      </c>
      <c r="B54">
        <v>85766329260.795853</v>
      </c>
      <c r="C54">
        <v>339590044790.54773</v>
      </c>
    </row>
    <row r="55" spans="1:10" x14ac:dyDescent="0.25">
      <c r="A55" t="s">
        <v>13</v>
      </c>
      <c r="B55">
        <v>5360395578.7997408</v>
      </c>
      <c r="C55">
        <v>21224377799.409229</v>
      </c>
    </row>
    <row r="56" spans="1:10" x14ac:dyDescent="0.25">
      <c r="A56" t="s">
        <v>28</v>
      </c>
      <c r="B56">
        <v>1.158753203474932E+18</v>
      </c>
      <c r="C56">
        <v>2.7197027479021052E+19</v>
      </c>
    </row>
    <row r="59" spans="1:10" ht="15.75" customHeight="1" thickBot="1" x14ac:dyDescent="0.3">
      <c r="A59" t="s">
        <v>29</v>
      </c>
    </row>
    <row r="60" spans="1:10" x14ac:dyDescent="0.25">
      <c r="A60" s="10" t="s">
        <v>30</v>
      </c>
      <c r="B60" s="10" t="s">
        <v>31</v>
      </c>
      <c r="C60" s="10" t="s">
        <v>32</v>
      </c>
      <c r="D60" s="10" t="s">
        <v>33</v>
      </c>
      <c r="E60" s="10" t="s">
        <v>34</v>
      </c>
      <c r="F60" s="10" t="s">
        <v>35</v>
      </c>
      <c r="G60" s="10" t="s">
        <v>36</v>
      </c>
    </row>
    <row r="61" spans="1:10" x14ac:dyDescent="0.25">
      <c r="A61" t="s">
        <v>37</v>
      </c>
      <c r="B61">
        <v>2.137083931528984E+20</v>
      </c>
      <c r="C61">
        <v>7</v>
      </c>
      <c r="D61">
        <v>3.052977045041406E+19</v>
      </c>
      <c r="E61">
        <v>9.8629122844980852</v>
      </c>
      <c r="F61">
        <v>8.8327989559323111E-5</v>
      </c>
      <c r="G61">
        <v>2.6571966002210869</v>
      </c>
    </row>
    <row r="62" spans="1:10" x14ac:dyDescent="0.25">
      <c r="A62" t="s">
        <v>38</v>
      </c>
      <c r="B62">
        <v>2.013327455166513E+21</v>
      </c>
      <c r="C62">
        <v>1</v>
      </c>
      <c r="D62">
        <v>2.013327455166513E+21</v>
      </c>
      <c r="E62">
        <v>650.42323598636017</v>
      </c>
      <c r="F62">
        <v>2.1915063072744469E-14</v>
      </c>
      <c r="G62">
        <v>4.4939984776663584</v>
      </c>
    </row>
    <row r="63" spans="1:10" x14ac:dyDescent="0.25">
      <c r="A63" t="s">
        <v>39</v>
      </c>
      <c r="B63">
        <v>1.6210173577504381E+20</v>
      </c>
      <c r="C63">
        <v>7</v>
      </c>
      <c r="D63">
        <v>2.315739082500626E+19</v>
      </c>
      <c r="E63">
        <v>7.4811998608322288</v>
      </c>
      <c r="F63">
        <v>4.4671776854774119E-4</v>
      </c>
      <c r="G63">
        <v>2.6571966002210869</v>
      </c>
    </row>
    <row r="64" spans="1:10" x14ac:dyDescent="0.25">
      <c r="A64" t="s">
        <v>40</v>
      </c>
      <c r="B64">
        <v>4.9526581309496361E+19</v>
      </c>
      <c r="C64">
        <v>16</v>
      </c>
      <c r="D64">
        <v>3.0954113318435231E+18</v>
      </c>
    </row>
    <row r="66" spans="1:7" ht="15.75" customHeight="1" thickBot="1" x14ac:dyDescent="0.3">
      <c r="A66" s="9" t="s">
        <v>25</v>
      </c>
      <c r="B66" s="9">
        <v>2.4386641654039508E+21</v>
      </c>
      <c r="C66" s="9">
        <v>31</v>
      </c>
      <c r="D66" s="9"/>
      <c r="E66" s="9"/>
      <c r="F66" s="9"/>
      <c r="G66" s="9"/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"/>
  <sheetViews>
    <sheetView workbookViewId="0">
      <selection activeCell="K14" sqref="K14"/>
    </sheetView>
  </sheetViews>
  <sheetFormatPr defaultRowHeight="15" x14ac:dyDescent="0.25"/>
  <sheetData>
    <row r="1" spans="1:4" x14ac:dyDescent="0.25">
      <c r="A1" t="s">
        <v>23</v>
      </c>
    </row>
    <row r="3" spans="1:4" x14ac:dyDescent="0.25">
      <c r="A3" t="s">
        <v>24</v>
      </c>
      <c r="B3" t="s">
        <v>21</v>
      </c>
      <c r="C3" t="s">
        <v>22</v>
      </c>
      <c r="D3" t="s">
        <v>25</v>
      </c>
    </row>
    <row r="4" spans="1:4" ht="15.75" customHeight="1" thickBot="1" x14ac:dyDescent="0.3">
      <c r="A4" s="8" t="s">
        <v>1</v>
      </c>
      <c r="B4" s="8"/>
      <c r="C4" s="8"/>
      <c r="D4" s="8"/>
    </row>
    <row r="5" spans="1:4" x14ac:dyDescent="0.25">
      <c r="A5" t="s">
        <v>26</v>
      </c>
      <c r="B5">
        <v>2</v>
      </c>
      <c r="C5">
        <v>2</v>
      </c>
      <c r="D5">
        <v>4</v>
      </c>
    </row>
    <row r="6" spans="1:4" x14ac:dyDescent="0.25">
      <c r="A6" t="s">
        <v>27</v>
      </c>
      <c r="B6">
        <v>9849926</v>
      </c>
      <c r="C6">
        <v>27365912</v>
      </c>
      <c r="D6">
        <v>37215838</v>
      </c>
    </row>
    <row r="7" spans="1:4" x14ac:dyDescent="0.25">
      <c r="A7" t="s">
        <v>13</v>
      </c>
      <c r="B7">
        <v>4924963</v>
      </c>
      <c r="C7">
        <v>13682956</v>
      </c>
      <c r="D7">
        <v>9303959.5</v>
      </c>
    </row>
    <row r="8" spans="1:4" x14ac:dyDescent="0.25">
      <c r="A8" t="s">
        <v>28</v>
      </c>
      <c r="B8">
        <v>65992718402</v>
      </c>
      <c r="C8">
        <v>1960655426450</v>
      </c>
      <c r="D8">
        <v>26243029844300.328</v>
      </c>
    </row>
    <row r="10" spans="1:4" ht="15.75" customHeight="1" thickBot="1" x14ac:dyDescent="0.3">
      <c r="A10" s="8" t="s">
        <v>2</v>
      </c>
      <c r="B10" s="8"/>
      <c r="C10" s="8"/>
      <c r="D10" s="8"/>
    </row>
    <row r="11" spans="1:4" x14ac:dyDescent="0.25">
      <c r="A11" t="s">
        <v>26</v>
      </c>
      <c r="B11">
        <v>2</v>
      </c>
      <c r="C11">
        <v>2</v>
      </c>
      <c r="D11">
        <v>4</v>
      </c>
    </row>
    <row r="12" spans="1:4" x14ac:dyDescent="0.25">
      <c r="A12" t="s">
        <v>27</v>
      </c>
      <c r="B12">
        <v>9548958</v>
      </c>
      <c r="C12">
        <v>29282300</v>
      </c>
      <c r="D12">
        <v>38831258</v>
      </c>
    </row>
    <row r="13" spans="1:4" x14ac:dyDescent="0.25">
      <c r="A13" t="s">
        <v>13</v>
      </c>
      <c r="B13">
        <v>4774479</v>
      </c>
      <c r="C13">
        <v>14641150</v>
      </c>
      <c r="D13">
        <v>9707814.5</v>
      </c>
    </row>
    <row r="14" spans="1:4" x14ac:dyDescent="0.25">
      <c r="A14" t="s">
        <v>28</v>
      </c>
      <c r="B14">
        <v>2510853248</v>
      </c>
      <c r="C14">
        <v>1051937412338</v>
      </c>
      <c r="D14">
        <v>32801881629275.672</v>
      </c>
    </row>
    <row r="16" spans="1:4" ht="15.75" customHeight="1" thickBot="1" x14ac:dyDescent="0.3">
      <c r="A16" s="8" t="s">
        <v>3</v>
      </c>
      <c r="B16" s="8"/>
      <c r="C16" s="8"/>
      <c r="D16" s="8"/>
    </row>
    <row r="17" spans="1:4" x14ac:dyDescent="0.25">
      <c r="A17" t="s">
        <v>26</v>
      </c>
      <c r="B17">
        <v>2</v>
      </c>
      <c r="C17">
        <v>2</v>
      </c>
      <c r="D17">
        <v>4</v>
      </c>
    </row>
    <row r="18" spans="1:4" x14ac:dyDescent="0.25">
      <c r="A18" t="s">
        <v>27</v>
      </c>
      <c r="B18">
        <v>8950889</v>
      </c>
      <c r="C18">
        <v>54167898</v>
      </c>
      <c r="D18">
        <v>63118787</v>
      </c>
    </row>
    <row r="19" spans="1:4" x14ac:dyDescent="0.25">
      <c r="A19" t="s">
        <v>13</v>
      </c>
      <c r="B19">
        <v>4475444.5</v>
      </c>
      <c r="C19">
        <v>27083949</v>
      </c>
      <c r="D19">
        <v>15779696.75</v>
      </c>
    </row>
    <row r="20" spans="1:4" x14ac:dyDescent="0.25">
      <c r="A20" t="s">
        <v>28</v>
      </c>
      <c r="B20">
        <v>180.5</v>
      </c>
      <c r="C20">
        <v>1800</v>
      </c>
      <c r="D20">
        <v>170381491909500.19</v>
      </c>
    </row>
    <row r="22" spans="1:4" ht="15.75" customHeight="1" thickBot="1" x14ac:dyDescent="0.3">
      <c r="A22" s="8" t="s">
        <v>4</v>
      </c>
      <c r="B22" s="8"/>
      <c r="C22" s="8"/>
      <c r="D22" s="8"/>
    </row>
    <row r="23" spans="1:4" x14ac:dyDescent="0.25">
      <c r="A23" t="s">
        <v>26</v>
      </c>
      <c r="B23">
        <v>2</v>
      </c>
      <c r="C23">
        <v>2</v>
      </c>
      <c r="D23">
        <v>4</v>
      </c>
    </row>
    <row r="24" spans="1:4" x14ac:dyDescent="0.25">
      <c r="A24" t="s">
        <v>27</v>
      </c>
      <c r="B24">
        <v>13012849</v>
      </c>
      <c r="C24">
        <v>42557567</v>
      </c>
      <c r="D24">
        <v>55570416</v>
      </c>
    </row>
    <row r="25" spans="1:4" x14ac:dyDescent="0.25">
      <c r="A25" t="s">
        <v>13</v>
      </c>
      <c r="B25">
        <v>6506424.5</v>
      </c>
      <c r="C25">
        <v>21278783.5</v>
      </c>
      <c r="D25">
        <v>13892604</v>
      </c>
    </row>
    <row r="26" spans="1:4" x14ac:dyDescent="0.25">
      <c r="A26" t="s">
        <v>28</v>
      </c>
      <c r="B26">
        <v>1063551327340.5</v>
      </c>
      <c r="C26">
        <v>10832683162224.5</v>
      </c>
      <c r="D26">
        <v>76706274971482</v>
      </c>
    </row>
    <row r="28" spans="1:4" ht="15.75" customHeight="1" thickBot="1" x14ac:dyDescent="0.3">
      <c r="A28" s="8" t="s">
        <v>5</v>
      </c>
      <c r="B28" s="8"/>
      <c r="C28" s="8"/>
      <c r="D28" s="8"/>
    </row>
    <row r="29" spans="1:4" x14ac:dyDescent="0.25">
      <c r="A29" t="s">
        <v>26</v>
      </c>
      <c r="B29">
        <v>2</v>
      </c>
      <c r="C29">
        <v>2</v>
      </c>
      <c r="D29">
        <v>4</v>
      </c>
    </row>
    <row r="30" spans="1:4" x14ac:dyDescent="0.25">
      <c r="A30" t="s">
        <v>27</v>
      </c>
      <c r="B30">
        <v>10070797</v>
      </c>
      <c r="C30">
        <v>40377610</v>
      </c>
      <c r="D30">
        <v>50448407</v>
      </c>
    </row>
    <row r="31" spans="1:4" x14ac:dyDescent="0.25">
      <c r="A31" t="s">
        <v>13</v>
      </c>
      <c r="B31">
        <v>5035398.5</v>
      </c>
      <c r="C31">
        <v>20188805</v>
      </c>
      <c r="D31">
        <v>12612101.75</v>
      </c>
    </row>
    <row r="32" spans="1:4" x14ac:dyDescent="0.25">
      <c r="A32" t="s">
        <v>28</v>
      </c>
      <c r="B32">
        <v>1200.5</v>
      </c>
      <c r="C32">
        <v>512288590898</v>
      </c>
      <c r="D32">
        <v>76712672382113.578</v>
      </c>
    </row>
    <row r="34" spans="1:4" ht="15.75" customHeight="1" thickBot="1" x14ac:dyDescent="0.3">
      <c r="A34" s="8" t="s">
        <v>6</v>
      </c>
      <c r="B34" s="8"/>
      <c r="C34" s="8"/>
      <c r="D34" s="8"/>
    </row>
    <row r="35" spans="1:4" x14ac:dyDescent="0.25">
      <c r="A35" t="s">
        <v>26</v>
      </c>
      <c r="B35">
        <v>2</v>
      </c>
      <c r="C35">
        <v>2</v>
      </c>
      <c r="D35">
        <v>4</v>
      </c>
    </row>
    <row r="36" spans="1:4" x14ac:dyDescent="0.25">
      <c r="A36" t="s">
        <v>27</v>
      </c>
      <c r="B36">
        <v>15082997</v>
      </c>
      <c r="C36">
        <v>47349520</v>
      </c>
      <c r="D36">
        <v>62432517</v>
      </c>
    </row>
    <row r="37" spans="1:4" x14ac:dyDescent="0.25">
      <c r="A37" t="s">
        <v>13</v>
      </c>
      <c r="B37">
        <v>7541498.5</v>
      </c>
      <c r="C37">
        <v>23674760</v>
      </c>
      <c r="D37">
        <v>15608129.25</v>
      </c>
    </row>
    <row r="38" spans="1:4" x14ac:dyDescent="0.25">
      <c r="A38" t="s">
        <v>28</v>
      </c>
      <c r="B38">
        <v>1989543702612.5</v>
      </c>
      <c r="C38">
        <v>55535779538</v>
      </c>
      <c r="D38">
        <v>87442402036510.922</v>
      </c>
    </row>
    <row r="40" spans="1:4" ht="15.75" customHeight="1" thickBot="1" x14ac:dyDescent="0.3">
      <c r="A40" s="8" t="s">
        <v>7</v>
      </c>
      <c r="B40" s="8"/>
      <c r="C40" s="8"/>
      <c r="D40" s="8"/>
    </row>
    <row r="41" spans="1:4" x14ac:dyDescent="0.25">
      <c r="A41" t="s">
        <v>26</v>
      </c>
      <c r="B41">
        <v>2</v>
      </c>
      <c r="C41">
        <v>2</v>
      </c>
      <c r="D41">
        <v>4</v>
      </c>
    </row>
    <row r="42" spans="1:4" x14ac:dyDescent="0.25">
      <c r="A42" t="s">
        <v>27</v>
      </c>
      <c r="B42">
        <v>11043210</v>
      </c>
      <c r="C42">
        <v>46233624</v>
      </c>
      <c r="D42">
        <v>57276834</v>
      </c>
    </row>
    <row r="43" spans="1:4" x14ac:dyDescent="0.25">
      <c r="A43" t="s">
        <v>13</v>
      </c>
      <c r="B43">
        <v>5521605</v>
      </c>
      <c r="C43">
        <v>23116812</v>
      </c>
      <c r="D43">
        <v>14319208.5</v>
      </c>
    </row>
    <row r="44" spans="1:4" x14ac:dyDescent="0.25">
      <c r="A44" t="s">
        <v>28</v>
      </c>
      <c r="B44">
        <v>46078586738</v>
      </c>
      <c r="C44">
        <v>538998143378</v>
      </c>
      <c r="D44">
        <v>103392128700988.3</v>
      </c>
    </row>
    <row r="46" spans="1:4" ht="15.75" customHeight="1" thickBot="1" x14ac:dyDescent="0.3">
      <c r="A46" s="8" t="s">
        <v>8</v>
      </c>
      <c r="B46" s="8"/>
      <c r="C46" s="8"/>
      <c r="D46" s="8"/>
    </row>
    <row r="47" spans="1:4" x14ac:dyDescent="0.25">
      <c r="A47" t="s">
        <v>26</v>
      </c>
      <c r="B47">
        <v>2</v>
      </c>
      <c r="C47">
        <v>2</v>
      </c>
      <c r="D47">
        <v>4</v>
      </c>
    </row>
    <row r="48" spans="1:4" x14ac:dyDescent="0.25">
      <c r="A48" t="s">
        <v>27</v>
      </c>
      <c r="B48">
        <v>12106238</v>
      </c>
      <c r="C48">
        <v>50159688</v>
      </c>
      <c r="D48">
        <v>62265926</v>
      </c>
    </row>
    <row r="49" spans="1:10" x14ac:dyDescent="0.25">
      <c r="A49" t="s">
        <v>13</v>
      </c>
      <c r="B49">
        <v>6053119</v>
      </c>
      <c r="C49">
        <v>25079844</v>
      </c>
      <c r="D49">
        <v>15566481.5</v>
      </c>
    </row>
    <row r="50" spans="1:10" x14ac:dyDescent="0.25">
      <c r="A50" t="s">
        <v>28</v>
      </c>
      <c r="B50">
        <v>3450233505938</v>
      </c>
      <c r="C50">
        <v>36807925440512</v>
      </c>
      <c r="D50">
        <v>134091474390691.7</v>
      </c>
    </row>
    <row r="52" spans="1:10" ht="15.75" customHeight="1" thickBot="1" x14ac:dyDescent="0.3">
      <c r="A52" s="8" t="s">
        <v>25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t="s">
        <v>26</v>
      </c>
      <c r="B53">
        <v>16</v>
      </c>
      <c r="C53">
        <v>16</v>
      </c>
    </row>
    <row r="54" spans="1:10" x14ac:dyDescent="0.25">
      <c r="A54" t="s">
        <v>27</v>
      </c>
      <c r="B54">
        <v>89665864</v>
      </c>
      <c r="C54">
        <v>337494119</v>
      </c>
    </row>
    <row r="55" spans="1:10" x14ac:dyDescent="0.25">
      <c r="A55" t="s">
        <v>13</v>
      </c>
      <c r="B55">
        <v>5604116.5</v>
      </c>
      <c r="C55">
        <v>21093382.4375</v>
      </c>
    </row>
    <row r="56" spans="1:10" x14ac:dyDescent="0.25">
      <c r="A56" t="s">
        <v>28</v>
      </c>
      <c r="B56">
        <v>1444248531511.0669</v>
      </c>
      <c r="C56">
        <v>24775321350628.801</v>
      </c>
    </row>
    <row r="59" spans="1:10" ht="15.75" customHeight="1" thickBot="1" x14ac:dyDescent="0.3">
      <c r="A59" t="s">
        <v>29</v>
      </c>
    </row>
    <row r="60" spans="1:10" x14ac:dyDescent="0.25">
      <c r="A60" s="10" t="s">
        <v>30</v>
      </c>
      <c r="B60" s="10" t="s">
        <v>31</v>
      </c>
      <c r="C60" s="10" t="s">
        <v>32</v>
      </c>
      <c r="D60" s="10" t="s">
        <v>33</v>
      </c>
      <c r="E60" s="10" t="s">
        <v>34</v>
      </c>
      <c r="F60" s="10" t="s">
        <v>35</v>
      </c>
      <c r="G60" s="10" t="s">
        <v>36</v>
      </c>
    </row>
    <row r="61" spans="1:10" x14ac:dyDescent="0.25">
      <c r="A61" t="s">
        <v>37</v>
      </c>
      <c r="B61">
        <v>189318354898291.81</v>
      </c>
      <c r="C61">
        <v>7</v>
      </c>
      <c r="D61">
        <v>27045479271184.539</v>
      </c>
      <c r="E61">
        <v>7.4125210306358209</v>
      </c>
      <c r="F61">
        <v>4.7048065122882012E-4</v>
      </c>
      <c r="G61">
        <v>2.6571966002210869</v>
      </c>
    </row>
    <row r="62" spans="1:10" x14ac:dyDescent="0.25">
      <c r="A62" t="s">
        <v>38</v>
      </c>
      <c r="B62">
        <v>1919338874260782</v>
      </c>
      <c r="C62">
        <v>1</v>
      </c>
      <c r="D62">
        <v>1919338874260782</v>
      </c>
      <c r="E62">
        <v>526.04502318926029</v>
      </c>
      <c r="F62">
        <v>1.14696632511146E-13</v>
      </c>
      <c r="G62">
        <v>4.4939984776663584</v>
      </c>
    </row>
    <row r="63" spans="1:10" x14ac:dyDescent="0.25">
      <c r="A63" t="s">
        <v>39</v>
      </c>
      <c r="B63">
        <v>145597258681007.81</v>
      </c>
      <c r="C63">
        <v>7</v>
      </c>
      <c r="D63">
        <v>20799608383001.109</v>
      </c>
      <c r="E63">
        <v>5.7006767386907606</v>
      </c>
      <c r="F63">
        <v>1.924231516659063E-3</v>
      </c>
      <c r="G63">
        <v>2.6571966002210869</v>
      </c>
    </row>
    <row r="64" spans="1:10" x14ac:dyDescent="0.25">
      <c r="A64" t="s">
        <v>40</v>
      </c>
      <c r="B64">
        <v>58377934652798.5</v>
      </c>
      <c r="C64">
        <v>16</v>
      </c>
      <c r="D64">
        <v>3648620915799.9058</v>
      </c>
    </row>
    <row r="66" spans="1:7" ht="15.75" customHeight="1" thickBot="1" x14ac:dyDescent="0.3">
      <c r="A66" s="9" t="s">
        <v>25</v>
      </c>
      <c r="B66" s="9">
        <v>2312632422492880</v>
      </c>
      <c r="C66" s="9">
        <v>31</v>
      </c>
      <c r="D66" s="9"/>
      <c r="E66" s="9"/>
      <c r="F66" s="9"/>
      <c r="G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  <vt:lpstr>ANOVA - AoI</vt:lpstr>
      <vt:lpstr>ANOVA - Energy</vt:lpstr>
      <vt:lpstr>ANOVA - Makespan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</cp:lastModifiedBy>
  <cp:revision>1</cp:revision>
  <dcterms:created xsi:type="dcterms:W3CDTF">2015-06-05T18:17:20Z</dcterms:created>
  <dcterms:modified xsi:type="dcterms:W3CDTF">2025-10-17T09:09:25Z</dcterms:modified>
  <dc:language>en-US</dc:language>
</cp:coreProperties>
</file>