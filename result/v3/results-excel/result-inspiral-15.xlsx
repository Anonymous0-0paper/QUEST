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ehrab\Desktop\QUEST\QUEST\result\v3\results-excel\"/>
    </mc:Choice>
  </mc:AlternateContent>
  <xr:revisionPtr revIDLastSave="0" documentId="13_ncr:1_{C821E011-BD75-4F7A-82A2-A985934E980B}" xr6:coauthVersionLast="47" xr6:coauthVersionMax="47" xr10:uidLastSave="{00000000-0000-0000-0000-000000000000}"/>
  <bookViews>
    <workbookView xWindow="-120" yWindow="-120" windowWidth="29040" windowHeight="15720" tabRatio="500" firstSheet="2" activeTab="2" xr2:uid="{00000000-000D-0000-FFFF-FFFF00000000}"/>
  </bookViews>
  <sheets>
    <sheet name="Charts" sheetId="9" r:id="rId1"/>
    <sheet name="Data Age" sheetId="2" r:id="rId2"/>
    <sheet name="TTest - Energy" sheetId="14" r:id="rId3"/>
    <sheet name="Energy" sheetId="3" r:id="rId4"/>
    <sheet name="Makespan" sheetId="4" r:id="rId5"/>
    <sheet name="Success Rate" sheetId="5" r:id="rId6"/>
    <sheet name="Load Edge" sheetId="6" r:id="rId7"/>
    <sheet name="Load Cloud" sheetId="7" r:id="rId8"/>
    <sheet name="Loads" sheetId="8" r:id="rId9"/>
    <sheet name="TTEST - Makespan" sheetId="12" r:id="rId10"/>
    <sheet name="TTEST - AoI" sheetId="13" r:id="rId1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75" i="9" l="1"/>
  <c r="T75" i="9"/>
  <c r="S75" i="9"/>
  <c r="S90" i="9" s="1"/>
  <c r="U74" i="9"/>
  <c r="U89" i="9" s="1"/>
  <c r="T74" i="9"/>
  <c r="T89" i="9" s="1"/>
  <c r="S74" i="9"/>
  <c r="S89" i="9" s="1"/>
  <c r="U73" i="9"/>
  <c r="T73" i="9"/>
  <c r="S73" i="9"/>
  <c r="U72" i="9"/>
  <c r="T72" i="9"/>
  <c r="S72" i="9"/>
  <c r="U71" i="9"/>
  <c r="U86" i="9" s="1"/>
  <c r="T71" i="9"/>
  <c r="T86" i="9" s="1"/>
  <c r="S71" i="9"/>
  <c r="S86" i="9" s="1"/>
  <c r="U70" i="9"/>
  <c r="U85" i="9" s="1"/>
  <c r="T70" i="9"/>
  <c r="T85" i="9" s="1"/>
  <c r="S70" i="9"/>
  <c r="S85" i="9" s="1"/>
  <c r="U69" i="9"/>
  <c r="U84" i="9" s="1"/>
  <c r="T69" i="9"/>
  <c r="T84" i="9" s="1"/>
  <c r="S69" i="9"/>
  <c r="S84" i="9" s="1"/>
  <c r="U68" i="9"/>
  <c r="U83" i="9" s="1"/>
  <c r="T68" i="9"/>
  <c r="S68" i="9"/>
  <c r="U44" i="9"/>
  <c r="T44" i="9"/>
  <c r="S44" i="9"/>
  <c r="U43" i="9"/>
  <c r="T43" i="9"/>
  <c r="S43" i="9"/>
  <c r="U42" i="9"/>
  <c r="T42" i="9"/>
  <c r="S42" i="9"/>
  <c r="U41" i="9"/>
  <c r="T41" i="9"/>
  <c r="T56" i="9" s="1"/>
  <c r="S41" i="9"/>
  <c r="S56" i="9" s="1"/>
  <c r="U40" i="9"/>
  <c r="U55" i="9" s="1"/>
  <c r="T40" i="9"/>
  <c r="T55" i="9" s="1"/>
  <c r="S40" i="9"/>
  <c r="U39" i="9"/>
  <c r="T39" i="9"/>
  <c r="S39" i="9"/>
  <c r="U38" i="9"/>
  <c r="U53" i="9" s="1"/>
  <c r="T38" i="9"/>
  <c r="T53" i="9" s="1"/>
  <c r="S38" i="9"/>
  <c r="S53" i="9" s="1"/>
  <c r="U37" i="9"/>
  <c r="U52" i="9" s="1"/>
  <c r="T37" i="9"/>
  <c r="T52" i="9" s="1"/>
  <c r="S37" i="9"/>
  <c r="S52" i="9" s="1"/>
  <c r="U10" i="9"/>
  <c r="T10" i="9"/>
  <c r="S10" i="9"/>
  <c r="S25" i="9" s="1"/>
  <c r="U9" i="9"/>
  <c r="U24" i="9" s="1"/>
  <c r="T9" i="9"/>
  <c r="T24" i="9" s="1"/>
  <c r="S9" i="9"/>
  <c r="S24" i="9" s="1"/>
  <c r="U8" i="9"/>
  <c r="T8" i="9"/>
  <c r="S8" i="9"/>
  <c r="U7" i="9"/>
  <c r="T7" i="9"/>
  <c r="S7" i="9"/>
  <c r="U6" i="9"/>
  <c r="U21" i="9" s="1"/>
  <c r="T6" i="9"/>
  <c r="T21" i="9" s="1"/>
  <c r="S6" i="9"/>
  <c r="S21" i="9" s="1"/>
  <c r="U5" i="9"/>
  <c r="U20" i="9" s="1"/>
  <c r="T5" i="9"/>
  <c r="T20" i="9" s="1"/>
  <c r="S5" i="9"/>
  <c r="S20" i="9" s="1"/>
  <c r="U4" i="9"/>
  <c r="U19" i="9" s="1"/>
  <c r="T4" i="9"/>
  <c r="T19" i="9" s="1"/>
  <c r="S4" i="9"/>
  <c r="S19" i="9" s="1"/>
  <c r="U3" i="9"/>
  <c r="U25" i="9" s="1"/>
  <c r="T3" i="9"/>
  <c r="S3" i="9"/>
  <c r="T88" i="9"/>
  <c r="S88" i="9"/>
  <c r="T87" i="9"/>
  <c r="S87" i="9"/>
  <c r="T83" i="9"/>
  <c r="S83" i="9"/>
  <c r="T90" i="9"/>
  <c r="T58" i="9"/>
  <c r="S58" i="9"/>
  <c r="U57" i="9"/>
  <c r="T57" i="9"/>
  <c r="S57" i="9"/>
  <c r="U56" i="9"/>
  <c r="U58" i="9"/>
  <c r="S55" i="9"/>
  <c r="U54" i="9"/>
  <c r="T54" i="9"/>
  <c r="S54" i="9"/>
  <c r="T23" i="9"/>
  <c r="S23" i="9"/>
  <c r="T22" i="9"/>
  <c r="S22" i="9"/>
  <c r="T18" i="9"/>
  <c r="S18" i="9"/>
  <c r="T25" i="9"/>
  <c r="U90" i="9" l="1"/>
  <c r="U18" i="9"/>
  <c r="S59" i="9"/>
  <c r="U22" i="9"/>
  <c r="T59" i="9"/>
  <c r="U87" i="9"/>
  <c r="U59" i="9"/>
  <c r="U23" i="9"/>
  <c r="U88" i="9"/>
</calcChain>
</file>

<file path=xl/sharedStrings.xml><?xml version="1.0" encoding="utf-8"?>
<sst xmlns="http://schemas.openxmlformats.org/spreadsheetml/2006/main" count="550" uniqueCount="36">
  <si>
    <t>Algorithm</t>
  </si>
  <si>
    <t>Load</t>
  </si>
  <si>
    <t>Average</t>
  </si>
  <si>
    <t>Min</t>
  </si>
  <si>
    <t>Max</t>
  </si>
  <si>
    <t>Std Dev</t>
  </si>
  <si>
    <t>QUEST</t>
  </si>
  <si>
    <t>QUEST_NDVFS</t>
  </si>
  <si>
    <t>Fuzzy</t>
  </si>
  <si>
    <t>NSGA3</t>
  </si>
  <si>
    <t>MQGA</t>
  </si>
  <si>
    <t>Greedy</t>
  </si>
  <si>
    <t>MOPSO</t>
  </si>
  <si>
    <t>RL</t>
  </si>
  <si>
    <t>Summary by Algorithm</t>
  </si>
  <si>
    <t>Average data for chart</t>
  </si>
  <si>
    <t>Algorithms</t>
  </si>
  <si>
    <t>All data for chart</t>
  </si>
  <si>
    <t>Edge</t>
  </si>
  <si>
    <t>Cloud</t>
  </si>
  <si>
    <t>AoI</t>
  </si>
  <si>
    <t>Energy</t>
  </si>
  <si>
    <t>Makespan</t>
  </si>
  <si>
    <t>t-Test: Two-Sample Assuming Unequal Variances</t>
  </si>
  <si>
    <t>Mean</t>
  </si>
  <si>
    <t>Variance</t>
  </si>
  <si>
    <t>Observations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</si>
  <si>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</si>
  <si>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</si>
  <si>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</si>
  <si>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</si>
  <si>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</si>
  <si>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</si>
  <si>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</si>
  <si>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Variable 1</t>
  </si>
  <si>
    <t>Variable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</si>
</sst>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RUE&quot;;&quot;TRUE&quot;;&quot;FALSE&quot;"/>
  </numFmts>
  <fonts count="5" x14ac:knownFonts="1">
    <font>
      <sz val="11"/>
      <color theme="1"/>
      <name val="Calibri"/>
      <family val="2"/>
      <charset val="1"/>
    </font>
    <font>
      <b/>
      <sz val="11"/>
      <name val="Cambria"/>
      <family val="1"/>
    </font>
    <font>
      <b/>
      <sz val="11"/>
      <name val="Calibri"/>
      <family val="2"/>
    </font>
    <font>
      <sz val="11"/>
      <color rgb="FF000000"/>
      <name val="Calibri"/>
      <family val="2"/>
      <charset val="1"/>
    </font>
    <font>
      <i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CE5FF"/>
        <bgColor rgb="FFCCE5FF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2" borderId="0" xfId="0" applyFont="1" applyFill="1"/>
    <xf numFmtId="0" fontId="2" fillId="0" borderId="0" xfId="0" applyFont="1"/>
    <xf numFmtId="0" fontId="3" fillId="0" borderId="0" xfId="0" applyFont="1"/>
    <xf numFmtId="0" fontId="0" fillId="0" borderId="0" xfId="0" applyFill="1" applyBorder="1" applyAlignment="1"/>
    <xf numFmtId="0" fontId="0" fillId="0" borderId="1" xfId="0" applyFill="1" applyBorder="1" applyAlignment="1"/>
    <xf numFmtId="0" fontId="4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E5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Charts!$R$18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Charts!$S$18:$U$18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D5-4C1B-9AE6-F45071E9E175}"/>
            </c:ext>
          </c:extLst>
        </c:ser>
        <c:ser>
          <c:idx val="1"/>
          <c:order val="1"/>
          <c:tx>
            <c:strRef>
              <c:f>Charts!$R$19</c:f>
              <c:strCache>
                <c:ptCount val="1"/>
                <c:pt idx="0">
                  <c:v>QUEST_NDVFS</c:v>
                </c:pt>
              </c:strCache>
            </c:strRef>
          </c:tx>
          <c:spPr>
            <a:pattFill prst="sphere">
              <a:fgClr>
                <a:schemeClr val="accent5">
                  <a:lumMod val="50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Charts!$S$19:$U$19</c:f>
              <c:numCache>
                <c:formatCode>General</c:formatCode>
                <c:ptCount val="3"/>
                <c:pt idx="0">
                  <c:v>0.80407233690195556</c:v>
                </c:pt>
                <c:pt idx="1">
                  <c:v>0.78026487578687409</c:v>
                </c:pt>
                <c:pt idx="2">
                  <c:v>0.76089108959698148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D5-4C1B-9AE6-F45071E9E175}"/>
            </c:ext>
          </c:extLst>
        </c:ser>
        <c:ser>
          <c:idx val="2"/>
          <c:order val="2"/>
          <c:tx>
            <c:strRef>
              <c:f>Charts!$R$20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chemeClr val="accent3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Charts!$S$20:$U$20</c:f>
              <c:numCache>
                <c:formatCode>General</c:formatCode>
                <c:ptCount val="3"/>
                <c:pt idx="0">
                  <c:v>0.78248702064674458</c:v>
                </c:pt>
                <c:pt idx="1">
                  <c:v>0.77113471800510458</c:v>
                </c:pt>
                <c:pt idx="2">
                  <c:v>0.86753012370335381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D5-4C1B-9AE6-F45071E9E175}"/>
            </c:ext>
          </c:extLst>
        </c:ser>
        <c:ser>
          <c:idx val="3"/>
          <c:order val="3"/>
          <c:tx>
            <c:strRef>
              <c:f>Charts!$R$21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chemeClr val="accent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Charts!$S$21:$U$21</c:f>
              <c:numCache>
                <c:formatCode>General</c:formatCode>
                <c:ptCount val="3"/>
                <c:pt idx="0">
                  <c:v>0.89591482465410921</c:v>
                </c:pt>
                <c:pt idx="1">
                  <c:v>0.85799012862284052</c:v>
                </c:pt>
                <c:pt idx="2">
                  <c:v>0.90793672167614048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AD5-4C1B-9AE6-F45071E9E175}"/>
            </c:ext>
          </c:extLst>
        </c:ser>
        <c:ser>
          <c:idx val="4"/>
          <c:order val="4"/>
          <c:tx>
            <c:strRef>
              <c:f>Charts!$R$22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chemeClr val="accent6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Charts!$S$22:$U$22</c:f>
              <c:numCache>
                <c:formatCode>General</c:formatCode>
                <c:ptCount val="3"/>
                <c:pt idx="0">
                  <c:v>0.83250577195012487</c:v>
                </c:pt>
                <c:pt idx="1">
                  <c:v>0.82832861303520544</c:v>
                </c:pt>
                <c:pt idx="2">
                  <c:v>0.85255081845096004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AD5-4C1B-9AE6-F45071E9E175}"/>
            </c:ext>
          </c:extLst>
        </c:ser>
        <c:ser>
          <c:idx val="5"/>
          <c:order val="5"/>
          <c:tx>
            <c:strRef>
              <c:f>Charts!$R$23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Charts!$S$23:$U$23</c:f>
              <c:numCache>
                <c:formatCode>General</c:formatCode>
                <c:ptCount val="3"/>
                <c:pt idx="0">
                  <c:v>0.90591862717535221</c:v>
                </c:pt>
                <c:pt idx="1">
                  <c:v>0.86513319812465783</c:v>
                </c:pt>
                <c:pt idx="2">
                  <c:v>0.8983897422921383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AD5-4C1B-9AE6-F45071E9E175}"/>
            </c:ext>
          </c:extLst>
        </c:ser>
        <c:ser>
          <c:idx val="6"/>
          <c:order val="6"/>
          <c:tx>
            <c:strRef>
              <c:f>Charts!$R$24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Charts!$S$24:$U$24</c:f>
              <c:numCache>
                <c:formatCode>General</c:formatCode>
                <c:ptCount val="3"/>
                <c:pt idx="0">
                  <c:v>0.87592340626297838</c:v>
                </c:pt>
                <c:pt idx="1">
                  <c:v>0.85862896907710695</c:v>
                </c:pt>
                <c:pt idx="2">
                  <c:v>0.89142033486101657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AD5-4C1B-9AE6-F45071E9E175}"/>
            </c:ext>
          </c:extLst>
        </c:ser>
        <c:ser>
          <c:idx val="7"/>
          <c:order val="7"/>
          <c:tx>
            <c:strRef>
              <c:f>Charts!$R$25</c:f>
              <c:strCache>
                <c:ptCount val="1"/>
                <c:pt idx="0">
                  <c:v>RL</c:v>
                </c:pt>
              </c:strCache>
            </c:strRef>
          </c:tx>
          <c:spPr>
            <a:pattFill prst="dkHorz">
              <a:fgClr>
                <a:schemeClr val="accent2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Charts!$S$25:$U$25</c:f>
              <c:numCache>
                <c:formatCode>General</c:formatCode>
                <c:ptCount val="3"/>
                <c:pt idx="0">
                  <c:v>0.90846707842390895</c:v>
                </c:pt>
                <c:pt idx="1">
                  <c:v>0.9010067550577836</c:v>
                </c:pt>
                <c:pt idx="2">
                  <c:v>0.88892896634375007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AD5-4C1B-9AE6-F45071E9E1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Inspiral</a:t>
                </a:r>
                <a:r>
                  <a:rPr lang="en-US" sz="40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Loads</a:t>
                </a:r>
                <a:endParaRPr lang="en-US" sz="40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9894481913380175"/>
              <c:y val="0.848716537029449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1.1000000000000001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AoI </a:t>
                </a:r>
              </a:p>
            </c:rich>
          </c:tx>
          <c:layout>
            <c:manualLayout>
              <c:xMode val="edge"/>
              <c:yMode val="edge"/>
              <c:x val="6.8544502068875759E-4"/>
              <c:y val="0.190298268170972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" l="0" r="0" t="0" header="0" footer="0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Charts!$R$52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Charts!$S$52:$U$52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4E-43B9-B7D9-04C0BF1BB6F2}"/>
            </c:ext>
          </c:extLst>
        </c:ser>
        <c:ser>
          <c:idx val="1"/>
          <c:order val="1"/>
          <c:tx>
            <c:strRef>
              <c:f>Charts!$R$53</c:f>
              <c:strCache>
                <c:ptCount val="1"/>
                <c:pt idx="0">
                  <c:v>QUEST_NDVFS</c:v>
                </c:pt>
              </c:strCache>
            </c:strRef>
          </c:tx>
          <c:spPr>
            <a:pattFill prst="sphere">
              <a:fgClr>
                <a:schemeClr val="accent5">
                  <a:lumMod val="50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Charts!$S$53:$U$53</c:f>
              <c:numCache>
                <c:formatCode>General</c:formatCode>
                <c:ptCount val="3"/>
                <c:pt idx="0">
                  <c:v>1.0744377578816264</c:v>
                </c:pt>
                <c:pt idx="1">
                  <c:v>1.1178269716057359</c:v>
                </c:pt>
                <c:pt idx="2">
                  <c:v>1.250781928344822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4E-43B9-B7D9-04C0BF1BB6F2}"/>
            </c:ext>
          </c:extLst>
        </c:ser>
        <c:ser>
          <c:idx val="2"/>
          <c:order val="2"/>
          <c:tx>
            <c:strRef>
              <c:f>Charts!$R$54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chemeClr val="accent3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Charts!$S$54:$U$54</c:f>
              <c:numCache>
                <c:formatCode>General</c:formatCode>
                <c:ptCount val="3"/>
                <c:pt idx="0">
                  <c:v>1.0835539534567458</c:v>
                </c:pt>
                <c:pt idx="1">
                  <c:v>1.0807554942345212</c:v>
                </c:pt>
                <c:pt idx="2">
                  <c:v>1.635793469031853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44E-43B9-B7D9-04C0BF1BB6F2}"/>
            </c:ext>
          </c:extLst>
        </c:ser>
        <c:ser>
          <c:idx val="3"/>
          <c:order val="3"/>
          <c:tx>
            <c:strRef>
              <c:f>Charts!$R$55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chemeClr val="accent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Charts!$S$55:$U$55</c:f>
              <c:numCache>
                <c:formatCode>General</c:formatCode>
                <c:ptCount val="3"/>
                <c:pt idx="0">
                  <c:v>1.2698907378728574</c:v>
                </c:pt>
                <c:pt idx="1">
                  <c:v>1.3513313697575107</c:v>
                </c:pt>
                <c:pt idx="2">
                  <c:v>1.7773933290406099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44E-43B9-B7D9-04C0BF1BB6F2}"/>
            </c:ext>
          </c:extLst>
        </c:ser>
        <c:ser>
          <c:idx val="4"/>
          <c:order val="4"/>
          <c:tx>
            <c:strRef>
              <c:f>Charts!$R$56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chemeClr val="accent6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Charts!$S$56:$U$56</c:f>
              <c:numCache>
                <c:formatCode>General</c:formatCode>
                <c:ptCount val="3"/>
                <c:pt idx="0">
                  <c:v>1.1387666163451005</c:v>
                </c:pt>
                <c:pt idx="1">
                  <c:v>1.2299003933824717</c:v>
                </c:pt>
                <c:pt idx="2">
                  <c:v>1.5678496423001731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44E-43B9-B7D9-04C0BF1BB6F2}"/>
            </c:ext>
          </c:extLst>
        </c:ser>
        <c:ser>
          <c:idx val="5"/>
          <c:order val="5"/>
          <c:tx>
            <c:strRef>
              <c:f>Charts!$R$57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Charts!$S$57:$U$57</c:f>
              <c:numCache>
                <c:formatCode>General</c:formatCode>
                <c:ptCount val="3"/>
                <c:pt idx="0">
                  <c:v>1.2734311652737778</c:v>
                </c:pt>
                <c:pt idx="1">
                  <c:v>1.4077709547727071</c:v>
                </c:pt>
                <c:pt idx="2">
                  <c:v>1.7916677161124737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44E-43B9-B7D9-04C0BF1BB6F2}"/>
            </c:ext>
          </c:extLst>
        </c:ser>
        <c:ser>
          <c:idx val="6"/>
          <c:order val="6"/>
          <c:tx>
            <c:strRef>
              <c:f>Charts!$R$58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Charts!$S$58:$U$58</c:f>
              <c:numCache>
                <c:formatCode>General</c:formatCode>
                <c:ptCount val="3"/>
                <c:pt idx="0">
                  <c:v>1.2131163371839693</c:v>
                </c:pt>
                <c:pt idx="1">
                  <c:v>1.3311132314956271</c:v>
                </c:pt>
                <c:pt idx="2">
                  <c:v>1.730829643268073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44E-43B9-B7D9-04C0BF1BB6F2}"/>
            </c:ext>
          </c:extLst>
        </c:ser>
        <c:ser>
          <c:idx val="7"/>
          <c:order val="7"/>
          <c:tx>
            <c:strRef>
              <c:f>Charts!$R$59</c:f>
              <c:strCache>
                <c:ptCount val="1"/>
                <c:pt idx="0">
                  <c:v>RL</c:v>
                </c:pt>
              </c:strCache>
            </c:strRef>
          </c:tx>
          <c:spPr>
            <a:pattFill prst="dkHorz">
              <a:fgClr>
                <a:schemeClr val="accent2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Charts!$S$59:$U$59</c:f>
              <c:numCache>
                <c:formatCode>General</c:formatCode>
                <c:ptCount val="3"/>
                <c:pt idx="0">
                  <c:v>1.2919937095196043</c:v>
                </c:pt>
                <c:pt idx="1">
                  <c:v>1.5756889096786146</c:v>
                </c:pt>
                <c:pt idx="2">
                  <c:v>1.7541339720154625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44E-43B9-B7D9-04C0BF1BB6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4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Inspiral</a:t>
                </a:r>
                <a:r>
                  <a:rPr lang="en-US" sz="40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Loads</a:t>
                </a:r>
                <a:endParaRPr lang="en-US" sz="40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9894481913380175"/>
              <c:y val="0.848716537029449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2"/>
          <c:min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Energy Cons. </a:t>
                </a:r>
              </a:p>
            </c:rich>
          </c:tx>
          <c:layout>
            <c:manualLayout>
              <c:xMode val="edge"/>
              <c:yMode val="edge"/>
              <c:x val="6.8544502068875759E-4"/>
              <c:y val="3.637865260645584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" l="0" r="0" t="0" header="0" footer="0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Charts!$R$83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Charts!$S$83:$U$83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31-465F-B4DD-91F4499DBB42}"/>
            </c:ext>
          </c:extLst>
        </c:ser>
        <c:ser>
          <c:idx val="1"/>
          <c:order val="1"/>
          <c:tx>
            <c:strRef>
              <c:f>Charts!$R$84</c:f>
              <c:strCache>
                <c:ptCount val="1"/>
                <c:pt idx="0">
                  <c:v>QUEST_NDVFS</c:v>
                </c:pt>
              </c:strCache>
            </c:strRef>
          </c:tx>
          <c:spPr>
            <a:pattFill prst="sphere">
              <a:fgClr>
                <a:schemeClr val="accent5">
                  <a:lumMod val="50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Charts!$S$84:$U$84</c:f>
              <c:numCache>
                <c:formatCode>General</c:formatCode>
                <c:ptCount val="3"/>
                <c:pt idx="0">
                  <c:v>1.0009830423106456</c:v>
                </c:pt>
                <c:pt idx="1">
                  <c:v>0.98716269773364607</c:v>
                </c:pt>
                <c:pt idx="2">
                  <c:v>1.006963243828126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31-465F-B4DD-91F4499DBB42}"/>
            </c:ext>
          </c:extLst>
        </c:ser>
        <c:ser>
          <c:idx val="2"/>
          <c:order val="2"/>
          <c:tx>
            <c:strRef>
              <c:f>Charts!$R$85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chemeClr val="accent3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Charts!$S$85:$U$85</c:f>
              <c:numCache>
                <c:formatCode>General</c:formatCode>
                <c:ptCount val="3"/>
                <c:pt idx="0">
                  <c:v>0.98679695979754334</c:v>
                </c:pt>
                <c:pt idx="1">
                  <c:v>0.92193809051749187</c:v>
                </c:pt>
                <c:pt idx="2">
                  <c:v>1.2965167711445116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131-465F-B4DD-91F4499DBB42}"/>
            </c:ext>
          </c:extLst>
        </c:ser>
        <c:ser>
          <c:idx val="3"/>
          <c:order val="3"/>
          <c:tx>
            <c:strRef>
              <c:f>Charts!$R$86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chemeClr val="accent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Charts!$S$86:$U$86</c:f>
              <c:numCache>
                <c:formatCode>General</c:formatCode>
                <c:ptCount val="3"/>
                <c:pt idx="0">
                  <c:v>1.2375271297008092</c:v>
                </c:pt>
                <c:pt idx="1">
                  <c:v>1.2494256268003741</c:v>
                </c:pt>
                <c:pt idx="2">
                  <c:v>1.4907833133486246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131-465F-B4DD-91F4499DBB42}"/>
            </c:ext>
          </c:extLst>
        </c:ser>
        <c:ser>
          <c:idx val="4"/>
          <c:order val="4"/>
          <c:tx>
            <c:strRef>
              <c:f>Charts!$R$87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chemeClr val="accent6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Charts!$S$87:$U$87</c:f>
              <c:numCache>
                <c:formatCode>General</c:formatCode>
                <c:ptCount val="3"/>
                <c:pt idx="0">
                  <c:v>1.0763701132908963</c:v>
                </c:pt>
                <c:pt idx="1">
                  <c:v>1.1092642961935322</c:v>
                </c:pt>
                <c:pt idx="2">
                  <c:v>1.2729531203311673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131-465F-B4DD-91F4499DBB42}"/>
            </c:ext>
          </c:extLst>
        </c:ser>
        <c:ser>
          <c:idx val="5"/>
          <c:order val="5"/>
          <c:tx>
            <c:strRef>
              <c:f>Charts!$R$88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Charts!$S$88:$U$88</c:f>
              <c:numCache>
                <c:formatCode>General</c:formatCode>
                <c:ptCount val="3"/>
                <c:pt idx="0">
                  <c:v>1.2447667297800207</c:v>
                </c:pt>
                <c:pt idx="1">
                  <c:v>1.3088818629242212</c:v>
                </c:pt>
                <c:pt idx="2">
                  <c:v>1.4925674863719081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131-465F-B4DD-91F4499DBB42}"/>
            </c:ext>
          </c:extLst>
        </c:ser>
        <c:ser>
          <c:idx val="6"/>
          <c:order val="6"/>
          <c:tx>
            <c:strRef>
              <c:f>Charts!$R$89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Charts!$S$89:$U$89</c:f>
              <c:numCache>
                <c:formatCode>General</c:formatCode>
                <c:ptCount val="3"/>
                <c:pt idx="0">
                  <c:v>1.177294452684611</c:v>
                </c:pt>
                <c:pt idx="1">
                  <c:v>1.2188909066681626</c:v>
                </c:pt>
                <c:pt idx="2">
                  <c:v>1.4330117409303076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131-465F-B4DD-91F4499DBB42}"/>
            </c:ext>
          </c:extLst>
        </c:ser>
        <c:ser>
          <c:idx val="7"/>
          <c:order val="7"/>
          <c:tx>
            <c:strRef>
              <c:f>Charts!$R$90</c:f>
              <c:strCache>
                <c:ptCount val="1"/>
                <c:pt idx="0">
                  <c:v>RL</c:v>
                </c:pt>
              </c:strCache>
            </c:strRef>
          </c:tx>
          <c:spPr>
            <a:pattFill prst="dkHorz">
              <a:fgClr>
                <a:schemeClr val="accent2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Charts!$S$90:$U$90</c:f>
              <c:numCache>
                <c:formatCode>General</c:formatCode>
                <c:ptCount val="3"/>
                <c:pt idx="0">
                  <c:v>1.2660303288113124</c:v>
                </c:pt>
                <c:pt idx="1">
                  <c:v>1.4719757822579769</c:v>
                </c:pt>
                <c:pt idx="2">
                  <c:v>1.4561264622338148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131-465F-B4DD-91F4499DBB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4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Inspiral</a:t>
                </a:r>
                <a:r>
                  <a:rPr lang="en-US" sz="40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Loads</a:t>
                </a:r>
                <a:endParaRPr lang="en-US" sz="40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9894481913380175"/>
              <c:y val="0.848716537029449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1.5"/>
          <c:min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Makespan </a:t>
                </a:r>
              </a:p>
            </c:rich>
          </c:tx>
          <c:layout>
            <c:manualLayout>
              <c:xMode val="edge"/>
              <c:yMode val="edge"/>
              <c:x val="6.8544502068875759E-4"/>
              <c:y val="8.0993053327031106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" l="0" r="0" t="0" header="0" footer="0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0</xdr:row>
      <xdr:rowOff>174171</xdr:rowOff>
    </xdr:from>
    <xdr:to>
      <xdr:col>15</xdr:col>
      <xdr:colOff>11984</xdr:colOff>
      <xdr:row>31</xdr:row>
      <xdr:rowOff>130629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DFE6EE-9C8F-4000-8AD8-0EAE331D35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326572</xdr:colOff>
      <xdr:row>32</xdr:row>
      <xdr:rowOff>43543</xdr:rowOff>
    </xdr:from>
    <xdr:to>
      <xdr:col>15</xdr:col>
      <xdr:colOff>33756</xdr:colOff>
      <xdr:row>63</xdr:row>
      <xdr:rowOff>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DEFD135-A08E-49A7-A2D8-7400165A79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359228</xdr:colOff>
      <xdr:row>63</xdr:row>
      <xdr:rowOff>97971</xdr:rowOff>
    </xdr:from>
    <xdr:to>
      <xdr:col>15</xdr:col>
      <xdr:colOff>66412</xdr:colOff>
      <xdr:row>94</xdr:row>
      <xdr:rowOff>54429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6D21178-C485-449F-8416-E1CEADB2C3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474D9-46F8-412E-A6C6-D87B0AAF4B9D}">
  <dimension ref="R2:U90"/>
  <sheetViews>
    <sheetView topLeftCell="A30" zoomScale="55" zoomScaleNormal="55" workbookViewId="0">
      <selection activeCell="Y44" sqref="Y44"/>
    </sheetView>
  </sheetViews>
  <sheetFormatPr defaultRowHeight="15" x14ac:dyDescent="0.25"/>
  <cols>
    <col min="19" max="19" width="12.28515625" bestFit="1" customWidth="1"/>
  </cols>
  <sheetData>
    <row r="2" spans="18:21" x14ac:dyDescent="0.25">
      <c r="R2" t="s">
        <v>20</v>
      </c>
      <c r="S2">
        <v>30</v>
      </c>
      <c r="T2">
        <v>50</v>
      </c>
      <c r="U2">
        <v>100</v>
      </c>
    </row>
    <row r="3" spans="18:21" x14ac:dyDescent="0.25">
      <c r="R3" s="5" t="s">
        <v>6</v>
      </c>
      <c r="S3">
        <f>'Data Age'!B41</f>
        <v>228384.1241935484</v>
      </c>
      <c r="T3">
        <f>'Data Age'!C41</f>
        <v>262787.69705882348</v>
      </c>
      <c r="U3">
        <f>'Data Age'!D41</f>
        <v>259098.12475247521</v>
      </c>
    </row>
    <row r="4" spans="18:21" x14ac:dyDescent="0.25">
      <c r="R4" s="5" t="s">
        <v>7</v>
      </c>
      <c r="S4">
        <f>'Data Age'!B42</f>
        <v>183637.3564516129</v>
      </c>
      <c r="T4">
        <f>'Data Age'!C42</f>
        <v>205044.0098039216</v>
      </c>
      <c r="U4">
        <f>'Data Age'!D42</f>
        <v>197145.45445544549</v>
      </c>
    </row>
    <row r="5" spans="18:21" x14ac:dyDescent="0.25">
      <c r="R5" s="1" t="s">
        <v>8</v>
      </c>
      <c r="S5">
        <f>'Data Age'!B43</f>
        <v>178707.61290322579</v>
      </c>
      <c r="T5">
        <f>'Data Age'!C43</f>
        <v>202644.7166666667</v>
      </c>
      <c r="U5">
        <f>'Data Age'!D43</f>
        <v>224775.42821782181</v>
      </c>
    </row>
    <row r="6" spans="18:21" x14ac:dyDescent="0.25">
      <c r="R6" s="5" t="s">
        <v>9</v>
      </c>
      <c r="S6">
        <f>'Data Age'!B44</f>
        <v>204612.7225806452</v>
      </c>
      <c r="T6">
        <f>'Data Age'!C44</f>
        <v>225469.25</v>
      </c>
      <c r="U6">
        <f>'Data Age'!D44</f>
        <v>235244.70198019801</v>
      </c>
    </row>
    <row r="7" spans="18:21" x14ac:dyDescent="0.25">
      <c r="R7" s="5" t="s">
        <v>10</v>
      </c>
      <c r="S7">
        <f>'Data Age'!B45</f>
        <v>190131.10161290321</v>
      </c>
      <c r="T7">
        <f>'Data Age'!C45</f>
        <v>217674.56862745099</v>
      </c>
      <c r="U7">
        <f>'Data Age'!D45</f>
        <v>220894.31831683169</v>
      </c>
    </row>
    <row r="8" spans="18:21" x14ac:dyDescent="0.25">
      <c r="R8" s="5" t="s">
        <v>11</v>
      </c>
      <c r="S8">
        <f>'Data Age'!B46</f>
        <v>206897.43225806451</v>
      </c>
      <c r="T8">
        <f>'Data Age'!C46</f>
        <v>227346.3607843137</v>
      </c>
      <c r="U8">
        <f>'Data Age'!D46</f>
        <v>232771.09752475249</v>
      </c>
    </row>
    <row r="9" spans="18:21" x14ac:dyDescent="0.25">
      <c r="R9" s="1" t="s">
        <v>12</v>
      </c>
      <c r="S9">
        <f>'Data Age'!B47</f>
        <v>200047</v>
      </c>
      <c r="T9">
        <f>'Data Age'!C47</f>
        <v>225637.1294117647</v>
      </c>
      <c r="U9">
        <f>'Data Age'!D47</f>
        <v>230965.33712871291</v>
      </c>
    </row>
    <row r="10" spans="18:21" x14ac:dyDescent="0.25">
      <c r="R10" s="5" t="s">
        <v>13</v>
      </c>
      <c r="S10">
        <f>'Data Age'!B48</f>
        <v>207479.4580645161</v>
      </c>
      <c r="T10">
        <f>'Data Age'!C48</f>
        <v>236773.4901960784</v>
      </c>
      <c r="U10">
        <f>'Data Age'!D48</f>
        <v>230319.82821782181</v>
      </c>
    </row>
    <row r="17" spans="18:21" x14ac:dyDescent="0.25">
      <c r="R17" t="s">
        <v>20</v>
      </c>
      <c r="S17">
        <v>30</v>
      </c>
      <c r="T17">
        <v>50</v>
      </c>
      <c r="U17">
        <v>100</v>
      </c>
    </row>
    <row r="18" spans="18:21" x14ac:dyDescent="0.25">
      <c r="R18" s="5" t="s">
        <v>6</v>
      </c>
      <c r="S18">
        <f>S3/S3</f>
        <v>1</v>
      </c>
      <c r="T18">
        <f>T3/T3</f>
        <v>1</v>
      </c>
      <c r="U18">
        <f>U3/U3</f>
        <v>1</v>
      </c>
    </row>
    <row r="19" spans="18:21" x14ac:dyDescent="0.25">
      <c r="R19" s="5" t="s">
        <v>7</v>
      </c>
      <c r="S19">
        <f>S4/S3</f>
        <v>0.80407233690195556</v>
      </c>
      <c r="T19">
        <f t="shared" ref="T19:U19" si="0">T4/T3</f>
        <v>0.78026487578687409</v>
      </c>
      <c r="U19">
        <f t="shared" si="0"/>
        <v>0.76089108959698148</v>
      </c>
    </row>
    <row r="20" spans="18:21" x14ac:dyDescent="0.25">
      <c r="R20" s="1" t="s">
        <v>8</v>
      </c>
      <c r="S20">
        <f>S5/S3</f>
        <v>0.78248702064674458</v>
      </c>
      <c r="T20">
        <f t="shared" ref="T20:U20" si="1">T5/T3</f>
        <v>0.77113471800510458</v>
      </c>
      <c r="U20">
        <f t="shared" si="1"/>
        <v>0.86753012370335381</v>
      </c>
    </row>
    <row r="21" spans="18:21" x14ac:dyDescent="0.25">
      <c r="R21" s="5" t="s">
        <v>9</v>
      </c>
      <c r="S21">
        <f>S6/S3</f>
        <v>0.89591482465410921</v>
      </c>
      <c r="T21">
        <f t="shared" ref="T21:U21" si="2">T6/T3</f>
        <v>0.85799012862284052</v>
      </c>
      <c r="U21">
        <f t="shared" si="2"/>
        <v>0.90793672167614048</v>
      </c>
    </row>
    <row r="22" spans="18:21" x14ac:dyDescent="0.25">
      <c r="R22" s="5" t="s">
        <v>10</v>
      </c>
      <c r="S22">
        <f>S7/S3</f>
        <v>0.83250577195012487</v>
      </c>
      <c r="T22">
        <f t="shared" ref="T22:U22" si="3">T7/T3</f>
        <v>0.82832861303520544</v>
      </c>
      <c r="U22">
        <f t="shared" si="3"/>
        <v>0.85255081845096004</v>
      </c>
    </row>
    <row r="23" spans="18:21" x14ac:dyDescent="0.25">
      <c r="R23" s="5" t="s">
        <v>11</v>
      </c>
      <c r="S23">
        <f>S8/S3</f>
        <v>0.90591862717535221</v>
      </c>
      <c r="T23">
        <f t="shared" ref="T23:U23" si="4">T8/T3</f>
        <v>0.86513319812465783</v>
      </c>
      <c r="U23">
        <f t="shared" si="4"/>
        <v>0.8983897422921383</v>
      </c>
    </row>
    <row r="24" spans="18:21" x14ac:dyDescent="0.25">
      <c r="R24" s="1" t="s">
        <v>12</v>
      </c>
      <c r="S24">
        <f>S9/S3</f>
        <v>0.87592340626297838</v>
      </c>
      <c r="T24">
        <f t="shared" ref="T24:U24" si="5">T9/T3</f>
        <v>0.85862896907710695</v>
      </c>
      <c r="U24">
        <f t="shared" si="5"/>
        <v>0.89142033486101657</v>
      </c>
    </row>
    <row r="25" spans="18:21" x14ac:dyDescent="0.25">
      <c r="R25" s="5" t="s">
        <v>13</v>
      </c>
      <c r="S25">
        <f>S10/S3</f>
        <v>0.90846707842390895</v>
      </c>
      <c r="T25">
        <f t="shared" ref="T25:U25" si="6">T10/T3</f>
        <v>0.9010067550577836</v>
      </c>
      <c r="U25">
        <f t="shared" si="6"/>
        <v>0.88892896634375007</v>
      </c>
    </row>
    <row r="36" spans="18:21" x14ac:dyDescent="0.25">
      <c r="R36" t="s">
        <v>21</v>
      </c>
      <c r="S36">
        <v>30</v>
      </c>
      <c r="T36">
        <v>50</v>
      </c>
      <c r="U36">
        <v>100</v>
      </c>
    </row>
    <row r="37" spans="18:21" x14ac:dyDescent="0.25">
      <c r="R37" s="5" t="s">
        <v>6</v>
      </c>
      <c r="S37">
        <f>Energy!B41</f>
        <v>760645475.3550961</v>
      </c>
      <c r="T37">
        <f>Energy!C41</f>
        <v>838026431.0459584</v>
      </c>
      <c r="U37">
        <f>Energy!D41</f>
        <v>800932005.05038083</v>
      </c>
    </row>
    <row r="38" spans="18:21" x14ac:dyDescent="0.25">
      <c r="R38" s="5" t="s">
        <v>7</v>
      </c>
      <c r="S38">
        <f>Energy!B42</f>
        <v>817266219.08333337</v>
      </c>
      <c r="T38">
        <f>Energy!C42</f>
        <v>936768547.54166663</v>
      </c>
      <c r="U38">
        <f>Energy!D42</f>
        <v>1001791277.75</v>
      </c>
    </row>
    <row r="39" spans="18:21" x14ac:dyDescent="0.25">
      <c r="R39" s="1" t="s">
        <v>8</v>
      </c>
      <c r="S39">
        <f>Energy!B43</f>
        <v>824200412</v>
      </c>
      <c r="T39">
        <f>Energy!C43</f>
        <v>905701669.66666663</v>
      </c>
      <c r="U39">
        <f>Energy!D43</f>
        <v>1310159343</v>
      </c>
    </row>
    <row r="40" spans="18:21" x14ac:dyDescent="0.25">
      <c r="R40" s="5" t="s">
        <v>9</v>
      </c>
      <c r="S40">
        <f>Energy!B44</f>
        <v>965936643.95833337</v>
      </c>
      <c r="T40">
        <f>Energy!C44</f>
        <v>1132451404.958333</v>
      </c>
      <c r="U40">
        <f>Energy!D44</f>
        <v>1423571202.791667</v>
      </c>
    </row>
    <row r="41" spans="18:21" x14ac:dyDescent="0.25">
      <c r="R41" s="5" t="s">
        <v>10</v>
      </c>
      <c r="S41">
        <f>Energy!B45</f>
        <v>866197674.20833325</v>
      </c>
      <c r="T41">
        <f>Energy!C45</f>
        <v>1030689037.208333</v>
      </c>
      <c r="U41">
        <f>Energy!D45</f>
        <v>1255740957.625</v>
      </c>
    </row>
    <row r="42" spans="18:21" x14ac:dyDescent="0.25">
      <c r="R42" s="5" t="s">
        <v>11</v>
      </c>
      <c r="S42">
        <f>Energy!B46</f>
        <v>968629654.04166663</v>
      </c>
      <c r="T42">
        <f>Energy!C46</f>
        <v>1179749268.958333</v>
      </c>
      <c r="U42">
        <f>Energy!D46</f>
        <v>1435004016.25</v>
      </c>
    </row>
    <row r="43" spans="18:21" x14ac:dyDescent="0.25">
      <c r="R43" s="1" t="s">
        <v>12</v>
      </c>
      <c r="S43">
        <f>Energy!B47</f>
        <v>922751452.95833337</v>
      </c>
      <c r="T43">
        <f>Energy!C47</f>
        <v>1115508070.708333</v>
      </c>
      <c r="U43">
        <f>Energy!D47</f>
        <v>1386276856.583333</v>
      </c>
    </row>
    <row r="44" spans="18:21" x14ac:dyDescent="0.25">
      <c r="R44" s="5" t="s">
        <v>13</v>
      </c>
      <c r="S44">
        <f>Energy!B48</f>
        <v>982749169.33333337</v>
      </c>
      <c r="T44">
        <f>Energy!C48</f>
        <v>1320468953.416667</v>
      </c>
      <c r="U44">
        <f>Energy!D48</f>
        <v>1404942039.333333</v>
      </c>
    </row>
    <row r="51" spans="18:21" x14ac:dyDescent="0.25">
      <c r="R51" t="s">
        <v>21</v>
      </c>
      <c r="S51">
        <v>30</v>
      </c>
      <c r="T51">
        <v>50</v>
      </c>
      <c r="U51">
        <v>100</v>
      </c>
    </row>
    <row r="52" spans="18:21" x14ac:dyDescent="0.25">
      <c r="R52" s="5" t="s">
        <v>6</v>
      </c>
      <c r="S52">
        <f>S37/S37</f>
        <v>1</v>
      </c>
      <c r="T52">
        <f>T37/T37</f>
        <v>1</v>
      </c>
      <c r="U52">
        <f>U37/U37</f>
        <v>1</v>
      </c>
    </row>
    <row r="53" spans="18:21" x14ac:dyDescent="0.25">
      <c r="R53" s="5" t="s">
        <v>7</v>
      </c>
      <c r="S53">
        <f>S38/S37</f>
        <v>1.0744377578816264</v>
      </c>
      <c r="T53">
        <f t="shared" ref="T53:U53" si="7">T38/T37</f>
        <v>1.1178269716057359</v>
      </c>
      <c r="U53">
        <f t="shared" si="7"/>
        <v>1.250781928344822</v>
      </c>
    </row>
    <row r="54" spans="18:21" x14ac:dyDescent="0.25">
      <c r="R54" s="1" t="s">
        <v>8</v>
      </c>
      <c r="S54">
        <f>S39/S37</f>
        <v>1.0835539534567458</v>
      </c>
      <c r="T54">
        <f t="shared" ref="T54:U54" si="8">T39/T37</f>
        <v>1.0807554942345212</v>
      </c>
      <c r="U54">
        <f t="shared" si="8"/>
        <v>1.635793469031853</v>
      </c>
    </row>
    <row r="55" spans="18:21" x14ac:dyDescent="0.25">
      <c r="R55" s="5" t="s">
        <v>9</v>
      </c>
      <c r="S55">
        <f>S40/S37</f>
        <v>1.2698907378728574</v>
      </c>
      <c r="T55">
        <f t="shared" ref="T55:U55" si="9">T40/T37</f>
        <v>1.3513313697575107</v>
      </c>
      <c r="U55">
        <f t="shared" si="9"/>
        <v>1.7773933290406099</v>
      </c>
    </row>
    <row r="56" spans="18:21" x14ac:dyDescent="0.25">
      <c r="R56" s="5" t="s">
        <v>10</v>
      </c>
      <c r="S56">
        <f>S41/S37</f>
        <v>1.1387666163451005</v>
      </c>
      <c r="T56">
        <f t="shared" ref="T56:U56" si="10">T41/T37</f>
        <v>1.2299003933824717</v>
      </c>
      <c r="U56">
        <f t="shared" si="10"/>
        <v>1.5678496423001731</v>
      </c>
    </row>
    <row r="57" spans="18:21" x14ac:dyDescent="0.25">
      <c r="R57" s="5" t="s">
        <v>11</v>
      </c>
      <c r="S57">
        <f>S42/S37</f>
        <v>1.2734311652737778</v>
      </c>
      <c r="T57">
        <f t="shared" ref="T57:U57" si="11">T42/T37</f>
        <v>1.4077709547727071</v>
      </c>
      <c r="U57">
        <f t="shared" si="11"/>
        <v>1.7916677161124737</v>
      </c>
    </row>
    <row r="58" spans="18:21" x14ac:dyDescent="0.25">
      <c r="R58" s="1" t="s">
        <v>12</v>
      </c>
      <c r="S58">
        <f>S43/S37</f>
        <v>1.2131163371839693</v>
      </c>
      <c r="T58">
        <f t="shared" ref="T58:U58" si="12">T43/T37</f>
        <v>1.3311132314956271</v>
      </c>
      <c r="U58">
        <f t="shared" si="12"/>
        <v>1.730829643268073</v>
      </c>
    </row>
    <row r="59" spans="18:21" x14ac:dyDescent="0.25">
      <c r="R59" s="5" t="s">
        <v>13</v>
      </c>
      <c r="S59">
        <f>S44/S37</f>
        <v>1.2919937095196043</v>
      </c>
      <c r="T59">
        <f t="shared" ref="T59:U59" si="13">T44/T37</f>
        <v>1.5756889096786146</v>
      </c>
      <c r="U59">
        <f t="shared" si="13"/>
        <v>1.7541339720154625</v>
      </c>
    </row>
    <row r="67" spans="18:21" x14ac:dyDescent="0.25">
      <c r="R67" t="s">
        <v>22</v>
      </c>
      <c r="S67">
        <v>30</v>
      </c>
      <c r="T67">
        <v>50</v>
      </c>
      <c r="U67">
        <v>100</v>
      </c>
    </row>
    <row r="68" spans="18:21" x14ac:dyDescent="0.25">
      <c r="R68" s="5" t="s">
        <v>6</v>
      </c>
      <c r="S68">
        <f>Makespan!B41</f>
        <v>1133674.5</v>
      </c>
      <c r="T68">
        <f>Makespan!C41</f>
        <v>1275412.05</v>
      </c>
      <c r="U68">
        <f>Makespan!D41</f>
        <v>1281938.45</v>
      </c>
    </row>
    <row r="69" spans="18:21" x14ac:dyDescent="0.25">
      <c r="R69" s="5" t="s">
        <v>7</v>
      </c>
      <c r="S69">
        <f>Makespan!B42</f>
        <v>1134788.95</v>
      </c>
      <c r="T69">
        <f>Makespan!C42</f>
        <v>1259039.2</v>
      </c>
      <c r="U69">
        <f>Makespan!D42</f>
        <v>1290864.8999999999</v>
      </c>
    </row>
    <row r="70" spans="18:21" x14ac:dyDescent="0.25">
      <c r="R70" s="1" t="s">
        <v>8</v>
      </c>
      <c r="S70">
        <f>Makespan!B43</f>
        <v>1118706.55</v>
      </c>
      <c r="T70">
        <f>Makespan!C43</f>
        <v>1175850.95</v>
      </c>
      <c r="U70">
        <f>Makespan!D43</f>
        <v>1662054.7</v>
      </c>
    </row>
    <row r="71" spans="18:21" x14ac:dyDescent="0.25">
      <c r="R71" s="5" t="s">
        <v>9</v>
      </c>
      <c r="S71">
        <f>Makespan!B44</f>
        <v>1402952.95</v>
      </c>
      <c r="T71">
        <f>Makespan!C44</f>
        <v>1593532.5</v>
      </c>
      <c r="U71">
        <f>Makespan!D44</f>
        <v>1911092.45</v>
      </c>
    </row>
    <row r="72" spans="18:21" x14ac:dyDescent="0.25">
      <c r="R72" s="5" t="s">
        <v>10</v>
      </c>
      <c r="S72">
        <f>Makespan!B45</f>
        <v>1220253.3500000001</v>
      </c>
      <c r="T72">
        <f>Makespan!C45</f>
        <v>1414769.05</v>
      </c>
      <c r="U72">
        <f>Makespan!D45</f>
        <v>1631847.55</v>
      </c>
    </row>
    <row r="73" spans="18:21" x14ac:dyDescent="0.25">
      <c r="R73" s="5" t="s">
        <v>11</v>
      </c>
      <c r="S73">
        <f>Makespan!B46</f>
        <v>1411160.3</v>
      </c>
      <c r="T73">
        <f>Makespan!C46</f>
        <v>1669363.7</v>
      </c>
      <c r="U73">
        <f>Makespan!D46</f>
        <v>1913379.65</v>
      </c>
    </row>
    <row r="74" spans="18:21" x14ac:dyDescent="0.25">
      <c r="R74" s="1" t="s">
        <v>12</v>
      </c>
      <c r="S74">
        <f>Makespan!B47</f>
        <v>1334668.7</v>
      </c>
      <c r="T74">
        <f>Makespan!C47</f>
        <v>1554588.15</v>
      </c>
      <c r="U74">
        <f>Makespan!D47</f>
        <v>1837032.85</v>
      </c>
    </row>
    <row r="75" spans="18:21" x14ac:dyDescent="0.25">
      <c r="R75" s="5" t="s">
        <v>13</v>
      </c>
      <c r="S75">
        <f>Makespan!B48</f>
        <v>1435266.3</v>
      </c>
      <c r="T75">
        <f>Makespan!C48</f>
        <v>1877375.65</v>
      </c>
      <c r="U75">
        <f>Makespan!D48</f>
        <v>1866664.5</v>
      </c>
    </row>
    <row r="82" spans="18:21" x14ac:dyDescent="0.25">
      <c r="R82" t="s">
        <v>22</v>
      </c>
      <c r="S82">
        <v>30</v>
      </c>
      <c r="T82">
        <v>50</v>
      </c>
      <c r="U82">
        <v>100</v>
      </c>
    </row>
    <row r="83" spans="18:21" x14ac:dyDescent="0.25">
      <c r="R83" s="5" t="s">
        <v>6</v>
      </c>
      <c r="S83">
        <f>S68/S68</f>
        <v>1</v>
      </c>
      <c r="T83">
        <f>T68/T68</f>
        <v>1</v>
      </c>
      <c r="U83">
        <f>U68/U68</f>
        <v>1</v>
      </c>
    </row>
    <row r="84" spans="18:21" x14ac:dyDescent="0.25">
      <c r="R84" s="5" t="s">
        <v>7</v>
      </c>
      <c r="S84">
        <f>S69/S68</f>
        <v>1.0009830423106456</v>
      </c>
      <c r="T84">
        <f t="shared" ref="T84:U84" si="14">T69/T68</f>
        <v>0.98716269773364607</v>
      </c>
      <c r="U84">
        <f t="shared" si="14"/>
        <v>1.006963243828126</v>
      </c>
    </row>
    <row r="85" spans="18:21" x14ac:dyDescent="0.25">
      <c r="R85" s="1" t="s">
        <v>8</v>
      </c>
      <c r="S85">
        <f>S70/S68</f>
        <v>0.98679695979754334</v>
      </c>
      <c r="T85">
        <f t="shared" ref="T85:U85" si="15">T70/T68</f>
        <v>0.92193809051749187</v>
      </c>
      <c r="U85">
        <f t="shared" si="15"/>
        <v>1.2965167711445116</v>
      </c>
    </row>
    <row r="86" spans="18:21" x14ac:dyDescent="0.25">
      <c r="R86" s="5" t="s">
        <v>9</v>
      </c>
      <c r="S86">
        <f>S71/S68</f>
        <v>1.2375271297008092</v>
      </c>
      <c r="T86">
        <f t="shared" ref="T86:U86" si="16">T71/T68</f>
        <v>1.2494256268003741</v>
      </c>
      <c r="U86">
        <f t="shared" si="16"/>
        <v>1.4907833133486246</v>
      </c>
    </row>
    <row r="87" spans="18:21" x14ac:dyDescent="0.25">
      <c r="R87" s="5" t="s">
        <v>10</v>
      </c>
      <c r="S87">
        <f>S72/S68</f>
        <v>1.0763701132908963</v>
      </c>
      <c r="T87">
        <f t="shared" ref="T87:U87" si="17">T72/T68</f>
        <v>1.1092642961935322</v>
      </c>
      <c r="U87">
        <f t="shared" si="17"/>
        <v>1.2729531203311673</v>
      </c>
    </row>
    <row r="88" spans="18:21" x14ac:dyDescent="0.25">
      <c r="R88" s="5" t="s">
        <v>11</v>
      </c>
      <c r="S88">
        <f>S73/S68</f>
        <v>1.2447667297800207</v>
      </c>
      <c r="T88">
        <f t="shared" ref="T88:U88" si="18">T73/T68</f>
        <v>1.3088818629242212</v>
      </c>
      <c r="U88">
        <f t="shared" si="18"/>
        <v>1.4925674863719081</v>
      </c>
    </row>
    <row r="89" spans="18:21" x14ac:dyDescent="0.25">
      <c r="R89" s="1" t="s">
        <v>12</v>
      </c>
      <c r="S89">
        <f>S74/S68</f>
        <v>1.177294452684611</v>
      </c>
      <c r="T89">
        <f t="shared" ref="T89:U89" si="19">T74/T68</f>
        <v>1.2188909066681626</v>
      </c>
      <c r="U89">
        <f t="shared" si="19"/>
        <v>1.4330117409303076</v>
      </c>
    </row>
    <row r="90" spans="18:21" x14ac:dyDescent="0.25">
      <c r="R90" s="5" t="s">
        <v>13</v>
      </c>
      <c r="S90">
        <f>S75/S68</f>
        <v>1.2660303288113124</v>
      </c>
      <c r="T90">
        <f t="shared" ref="T90:U90" si="20">T75/T68</f>
        <v>1.4719757822579769</v>
      </c>
      <c r="U90">
        <f t="shared" si="20"/>
        <v>1.4561264622338148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I60"/>
  <sheetViews>
    <sheetView zoomScaleNormal="100" workbookViewId="0">
      <selection activeCell="C15" sqref="C15"/>
    </sheetView>
  </sheetViews>
  <sheetFormatPr defaultColWidth="8.5703125" defaultRowHeight="15" x14ac:dyDescent="0.25"/>
  <cols>
    <col min="1" max="1" width="24" customWidth="1"/>
    <col min="2" max="61" width="20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1</v>
      </c>
      <c r="C2">
        <v>228384.1241935484</v>
      </c>
      <c r="D2">
        <v>222842.4838709677</v>
      </c>
      <c r="E2">
        <v>234457.935483871</v>
      </c>
      <c r="F2">
        <v>3153.0906462126391</v>
      </c>
    </row>
    <row r="3" spans="1:6" x14ac:dyDescent="0.25">
      <c r="A3" t="s">
        <v>6</v>
      </c>
      <c r="B3">
        <v>2</v>
      </c>
      <c r="C3">
        <v>262787.69705882348</v>
      </c>
      <c r="D3">
        <v>248789.74509803919</v>
      </c>
      <c r="E3">
        <v>283868.60784313717</v>
      </c>
      <c r="F3">
        <v>9385.7299032100855</v>
      </c>
    </row>
    <row r="4" spans="1:6" x14ac:dyDescent="0.25">
      <c r="A4" t="s">
        <v>6</v>
      </c>
      <c r="B4">
        <v>3</v>
      </c>
      <c r="C4">
        <v>259098.12475247521</v>
      </c>
      <c r="D4">
        <v>249486.70297029699</v>
      </c>
      <c r="E4">
        <v>274700.15841584158</v>
      </c>
      <c r="F4">
        <v>7859.0453751084124</v>
      </c>
    </row>
    <row r="5" spans="1:6" x14ac:dyDescent="0.25">
      <c r="A5" t="s">
        <v>7</v>
      </c>
      <c r="B5">
        <v>1</v>
      </c>
      <c r="C5">
        <v>183637.3564516129</v>
      </c>
      <c r="D5">
        <v>181512.4193548387</v>
      </c>
      <c r="E5">
        <v>186130.87096774191</v>
      </c>
      <c r="F5">
        <v>1283.9962084511219</v>
      </c>
    </row>
    <row r="6" spans="1:6" x14ac:dyDescent="0.25">
      <c r="A6" t="s">
        <v>7</v>
      </c>
      <c r="B6">
        <v>2</v>
      </c>
      <c r="C6">
        <v>205044.0098039216</v>
      </c>
      <c r="D6">
        <v>201265.68627450979</v>
      </c>
      <c r="E6">
        <v>207785.43137254901</v>
      </c>
      <c r="F6">
        <v>1470.4134336045499</v>
      </c>
    </row>
    <row r="7" spans="1:6" x14ac:dyDescent="0.25">
      <c r="A7" t="s">
        <v>7</v>
      </c>
      <c r="B7">
        <v>3</v>
      </c>
      <c r="C7">
        <v>197145.45445544549</v>
      </c>
      <c r="D7">
        <v>192849.26732673269</v>
      </c>
      <c r="E7">
        <v>200760.2574257426</v>
      </c>
      <c r="F7">
        <v>2032.0293827141149</v>
      </c>
    </row>
    <row r="8" spans="1:6" x14ac:dyDescent="0.25">
      <c r="A8" t="s">
        <v>8</v>
      </c>
      <c r="B8">
        <v>1</v>
      </c>
      <c r="C8">
        <v>178707.61290322579</v>
      </c>
      <c r="D8">
        <v>178707.61290322579</v>
      </c>
      <c r="E8">
        <v>178707.61290322579</v>
      </c>
      <c r="F8">
        <v>0</v>
      </c>
    </row>
    <row r="9" spans="1:6" x14ac:dyDescent="0.25">
      <c r="A9" t="s">
        <v>8</v>
      </c>
      <c r="B9">
        <v>2</v>
      </c>
      <c r="C9">
        <v>202644.7166666667</v>
      </c>
      <c r="D9">
        <v>202644.13725490199</v>
      </c>
      <c r="E9">
        <v>202645.19607843141</v>
      </c>
      <c r="F9">
        <v>0.28760602244131761</v>
      </c>
    </row>
    <row r="10" spans="1:6" x14ac:dyDescent="0.25">
      <c r="A10" t="s">
        <v>8</v>
      </c>
      <c r="B10">
        <v>3</v>
      </c>
      <c r="C10">
        <v>224775.42821782181</v>
      </c>
      <c r="D10">
        <v>224773.84158415839</v>
      </c>
      <c r="E10">
        <v>224777.3564356436</v>
      </c>
      <c r="F10">
        <v>0.94171311752967102</v>
      </c>
    </row>
    <row r="11" spans="1:6" x14ac:dyDescent="0.25">
      <c r="A11" t="s">
        <v>9</v>
      </c>
      <c r="B11">
        <v>1</v>
      </c>
      <c r="C11">
        <v>204612.7225806452</v>
      </c>
      <c r="D11">
        <v>189554.03225806449</v>
      </c>
      <c r="E11">
        <v>235548.70967741939</v>
      </c>
      <c r="F11">
        <v>13229.102609827019</v>
      </c>
    </row>
    <row r="12" spans="1:6" x14ac:dyDescent="0.25">
      <c r="A12" t="s">
        <v>9</v>
      </c>
      <c r="B12">
        <v>2</v>
      </c>
      <c r="C12">
        <v>225469.25</v>
      </c>
      <c r="D12">
        <v>213000.82352941181</v>
      </c>
      <c r="E12">
        <v>236704.6470588235</v>
      </c>
      <c r="F12">
        <v>6317.7669598439325</v>
      </c>
    </row>
    <row r="13" spans="1:6" x14ac:dyDescent="0.25">
      <c r="A13" t="s">
        <v>9</v>
      </c>
      <c r="B13">
        <v>3</v>
      </c>
      <c r="C13">
        <v>235244.70198019801</v>
      </c>
      <c r="D13">
        <v>205788.29702970301</v>
      </c>
      <c r="E13">
        <v>303924.38613861392</v>
      </c>
      <c r="F13">
        <v>25088.285103534301</v>
      </c>
    </row>
    <row r="14" spans="1:6" x14ac:dyDescent="0.25">
      <c r="A14" t="s">
        <v>10</v>
      </c>
      <c r="B14">
        <v>1</v>
      </c>
      <c r="C14">
        <v>190131.10161290321</v>
      </c>
      <c r="D14">
        <v>181549.38709677421</v>
      </c>
      <c r="E14">
        <v>200973.45161290321</v>
      </c>
      <c r="F14">
        <v>4689.2328301888183</v>
      </c>
    </row>
    <row r="15" spans="1:6" x14ac:dyDescent="0.25">
      <c r="A15" t="s">
        <v>10</v>
      </c>
      <c r="B15">
        <v>2</v>
      </c>
      <c r="C15">
        <v>217674.56862745099</v>
      </c>
      <c r="D15">
        <v>207479.37254901961</v>
      </c>
      <c r="E15">
        <v>231156.56862745099</v>
      </c>
      <c r="F15">
        <v>7241.393992963136</v>
      </c>
    </row>
    <row r="16" spans="1:6" x14ac:dyDescent="0.25">
      <c r="A16" t="s">
        <v>10</v>
      </c>
      <c r="B16">
        <v>3</v>
      </c>
      <c r="C16">
        <v>220894.31831683169</v>
      </c>
      <c r="D16">
        <v>210251.41584158421</v>
      </c>
      <c r="E16">
        <v>233071.46534653459</v>
      </c>
      <c r="F16">
        <v>7124.4770703608947</v>
      </c>
    </row>
    <row r="17" spans="1:6" x14ac:dyDescent="0.25">
      <c r="A17" t="s">
        <v>11</v>
      </c>
      <c r="B17">
        <v>1</v>
      </c>
      <c r="C17">
        <v>206897.43225806451</v>
      </c>
      <c r="D17">
        <v>191325.29032258061</v>
      </c>
      <c r="E17">
        <v>238631.67741935479</v>
      </c>
      <c r="F17">
        <v>10861.054563123351</v>
      </c>
    </row>
    <row r="18" spans="1:6" x14ac:dyDescent="0.25">
      <c r="A18" t="s">
        <v>11</v>
      </c>
      <c r="B18">
        <v>2</v>
      </c>
      <c r="C18">
        <v>227346.3607843137</v>
      </c>
      <c r="D18">
        <v>212058.19607843141</v>
      </c>
      <c r="E18">
        <v>253873.27450980389</v>
      </c>
      <c r="F18">
        <v>11341.53108268185</v>
      </c>
    </row>
    <row r="19" spans="1:6" x14ac:dyDescent="0.25">
      <c r="A19" t="s">
        <v>11</v>
      </c>
      <c r="B19">
        <v>3</v>
      </c>
      <c r="C19">
        <v>232771.09752475249</v>
      </c>
      <c r="D19">
        <v>204030.38613861389</v>
      </c>
      <c r="E19">
        <v>274381.60396039602</v>
      </c>
      <c r="F19">
        <v>18532.72604227205</v>
      </c>
    </row>
    <row r="20" spans="1:6" x14ac:dyDescent="0.25">
      <c r="A20" t="s">
        <v>12</v>
      </c>
      <c r="B20">
        <v>1</v>
      </c>
      <c r="C20">
        <v>200047</v>
      </c>
      <c r="D20">
        <v>190083.70967741939</v>
      </c>
      <c r="E20">
        <v>223169</v>
      </c>
      <c r="F20">
        <v>8318.139481345177</v>
      </c>
    </row>
    <row r="21" spans="1:6" x14ac:dyDescent="0.25">
      <c r="A21" t="s">
        <v>12</v>
      </c>
      <c r="B21">
        <v>2</v>
      </c>
      <c r="C21">
        <v>225637.1294117647</v>
      </c>
      <c r="D21">
        <v>212005.62745098039</v>
      </c>
      <c r="E21">
        <v>250287.70588235301</v>
      </c>
      <c r="F21">
        <v>7748.3313999148604</v>
      </c>
    </row>
    <row r="22" spans="1:6" x14ac:dyDescent="0.25">
      <c r="A22" t="s">
        <v>12</v>
      </c>
      <c r="B22">
        <v>3</v>
      </c>
      <c r="C22">
        <v>230965.33712871291</v>
      </c>
      <c r="D22">
        <v>216312.5742574257</v>
      </c>
      <c r="E22">
        <v>254439.22772277231</v>
      </c>
      <c r="F22">
        <v>9687.2805557257107</v>
      </c>
    </row>
    <row r="23" spans="1:6" x14ac:dyDescent="0.25">
      <c r="A23" t="s">
        <v>13</v>
      </c>
      <c r="B23">
        <v>1</v>
      </c>
      <c r="C23">
        <v>207479.4580645161</v>
      </c>
      <c r="D23">
        <v>190676.3548387097</v>
      </c>
      <c r="E23">
        <v>277536.32258064521</v>
      </c>
      <c r="F23">
        <v>19573.84862528781</v>
      </c>
    </row>
    <row r="24" spans="1:6" x14ac:dyDescent="0.25">
      <c r="A24" t="s">
        <v>13</v>
      </c>
      <c r="B24">
        <v>2</v>
      </c>
      <c r="C24">
        <v>236773.4901960784</v>
      </c>
      <c r="D24">
        <v>214000.68627450979</v>
      </c>
      <c r="E24">
        <v>279247.17647058831</v>
      </c>
      <c r="F24">
        <v>19735.314596351262</v>
      </c>
    </row>
    <row r="25" spans="1:6" x14ac:dyDescent="0.25">
      <c r="A25" t="s">
        <v>13</v>
      </c>
      <c r="B25">
        <v>3</v>
      </c>
      <c r="C25">
        <v>230319.82821782181</v>
      </c>
      <c r="D25">
        <v>209244.9801980198</v>
      </c>
      <c r="E25">
        <v>257355.39603960389</v>
      </c>
      <c r="F25">
        <v>13564.758959880401</v>
      </c>
    </row>
    <row r="28" spans="1:6" x14ac:dyDescent="0.25">
      <c r="A28" s="4" t="s">
        <v>14</v>
      </c>
    </row>
    <row r="29" spans="1:6" x14ac:dyDescent="0.25">
      <c r="A29" t="s">
        <v>6</v>
      </c>
      <c r="C29">
        <v>250089.98200161569</v>
      </c>
      <c r="D29">
        <v>222842.4838709677</v>
      </c>
      <c r="E29">
        <v>283868.60784313717</v>
      </c>
      <c r="F29">
        <v>17061.86163470252</v>
      </c>
    </row>
    <row r="30" spans="1:6" x14ac:dyDescent="0.25">
      <c r="A30" t="s">
        <v>7</v>
      </c>
      <c r="C30">
        <v>195275.60690365999</v>
      </c>
      <c r="D30">
        <v>181512.4193548387</v>
      </c>
      <c r="E30">
        <v>207785.43137254901</v>
      </c>
      <c r="F30">
        <v>8987.1538693586899</v>
      </c>
    </row>
    <row r="31" spans="1:6" x14ac:dyDescent="0.25">
      <c r="A31" t="s">
        <v>8</v>
      </c>
      <c r="C31">
        <v>202042.58592923809</v>
      </c>
      <c r="D31">
        <v>178707.61290322579</v>
      </c>
      <c r="E31">
        <v>224777.3564356436</v>
      </c>
      <c r="F31">
        <v>18811.925712490971</v>
      </c>
    </row>
    <row r="32" spans="1:6" x14ac:dyDescent="0.25">
      <c r="A32" t="s">
        <v>9</v>
      </c>
      <c r="C32">
        <v>221775.55818694769</v>
      </c>
      <c r="D32">
        <v>189554.03225806449</v>
      </c>
      <c r="E32">
        <v>303924.38613861392</v>
      </c>
      <c r="F32">
        <v>21086.879842202659</v>
      </c>
    </row>
    <row r="33" spans="1:6" x14ac:dyDescent="0.25">
      <c r="A33" t="s">
        <v>10</v>
      </c>
      <c r="C33">
        <v>209566.6628523953</v>
      </c>
      <c r="D33">
        <v>181549.38709677421</v>
      </c>
      <c r="E33">
        <v>233071.46534653459</v>
      </c>
      <c r="F33">
        <v>15242.26383115213</v>
      </c>
    </row>
    <row r="34" spans="1:6" x14ac:dyDescent="0.25">
      <c r="A34" t="s">
        <v>11</v>
      </c>
      <c r="C34">
        <v>222338.29685571021</v>
      </c>
      <c r="D34">
        <v>191325.29032258061</v>
      </c>
      <c r="E34">
        <v>274381.60396039602</v>
      </c>
      <c r="F34">
        <v>17910.882182966001</v>
      </c>
    </row>
    <row r="35" spans="1:6" x14ac:dyDescent="0.25">
      <c r="A35" t="s">
        <v>12</v>
      </c>
      <c r="C35">
        <v>218883.1555134925</v>
      </c>
      <c r="D35">
        <v>190083.70967741939</v>
      </c>
      <c r="E35">
        <v>254439.22772277231</v>
      </c>
      <c r="F35">
        <v>16015.279360759911</v>
      </c>
    </row>
    <row r="36" spans="1:6" x14ac:dyDescent="0.25">
      <c r="A36" t="s">
        <v>13</v>
      </c>
      <c r="C36">
        <v>224857.59215947209</v>
      </c>
      <c r="D36">
        <v>190676.3548387097</v>
      </c>
      <c r="E36">
        <v>279247.17647058831</v>
      </c>
      <c r="F36">
        <v>21836.094516957452</v>
      </c>
    </row>
    <row r="39" spans="1:6" x14ac:dyDescent="0.25">
      <c r="A39" s="4" t="s">
        <v>15</v>
      </c>
    </row>
    <row r="40" spans="1:6" x14ac:dyDescent="0.25">
      <c r="A40" t="s">
        <v>16</v>
      </c>
      <c r="B40">
        <v>1</v>
      </c>
      <c r="C40">
        <v>2</v>
      </c>
      <c r="D40">
        <v>3</v>
      </c>
    </row>
    <row r="41" spans="1:6" x14ac:dyDescent="0.25">
      <c r="A41" t="s">
        <v>6</v>
      </c>
      <c r="B41">
        <v>228384.1241935484</v>
      </c>
      <c r="C41">
        <v>262787.69705882348</v>
      </c>
      <c r="D41">
        <v>259098.12475247521</v>
      </c>
    </row>
    <row r="42" spans="1:6" x14ac:dyDescent="0.25">
      <c r="A42" t="s">
        <v>7</v>
      </c>
      <c r="B42">
        <v>183637.3564516129</v>
      </c>
      <c r="C42">
        <v>205044.0098039216</v>
      </c>
      <c r="D42">
        <v>197145.45445544549</v>
      </c>
    </row>
    <row r="43" spans="1:6" x14ac:dyDescent="0.25">
      <c r="A43" t="s">
        <v>8</v>
      </c>
      <c r="B43">
        <v>178707.61290322579</v>
      </c>
      <c r="C43">
        <v>202644.7166666667</v>
      </c>
      <c r="D43">
        <v>224775.42821782181</v>
      </c>
    </row>
    <row r="44" spans="1:6" x14ac:dyDescent="0.25">
      <c r="A44" t="s">
        <v>9</v>
      </c>
      <c r="B44">
        <v>204612.7225806452</v>
      </c>
      <c r="C44">
        <v>225469.25</v>
      </c>
      <c r="D44">
        <v>235244.70198019801</v>
      </c>
    </row>
    <row r="45" spans="1:6" x14ac:dyDescent="0.25">
      <c r="A45" t="s">
        <v>10</v>
      </c>
      <c r="B45">
        <v>190131.10161290321</v>
      </c>
      <c r="C45">
        <v>217674.56862745099</v>
      </c>
      <c r="D45">
        <v>220894.31831683169</v>
      </c>
    </row>
    <row r="46" spans="1:6" x14ac:dyDescent="0.25">
      <c r="A46" t="s">
        <v>11</v>
      </c>
      <c r="B46">
        <v>206897.43225806451</v>
      </c>
      <c r="C46">
        <v>227346.3607843137</v>
      </c>
      <c r="D46">
        <v>232771.09752475249</v>
      </c>
    </row>
    <row r="47" spans="1:6" x14ac:dyDescent="0.25">
      <c r="A47" t="s">
        <v>12</v>
      </c>
      <c r="B47">
        <v>200047</v>
      </c>
      <c r="C47">
        <v>225637.1294117647</v>
      </c>
      <c r="D47">
        <v>230965.33712871291</v>
      </c>
    </row>
    <row r="48" spans="1:6" x14ac:dyDescent="0.25">
      <c r="A48" t="s">
        <v>13</v>
      </c>
      <c r="B48">
        <v>207479.4580645161</v>
      </c>
      <c r="C48">
        <v>236773.4901960784</v>
      </c>
      <c r="D48">
        <v>230319.82821782181</v>
      </c>
    </row>
    <row r="51" spans="1:61" x14ac:dyDescent="0.25">
      <c r="A51" s="4" t="s">
        <v>17</v>
      </c>
    </row>
    <row r="52" spans="1:61" x14ac:dyDescent="0.25">
      <c r="A52" t="s">
        <v>16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x14ac:dyDescent="0.25">
      <c r="A53" t="s">
        <v>6</v>
      </c>
      <c r="B53">
        <v>226892.4838709677</v>
      </c>
      <c r="C53">
        <v>224024.4193548387</v>
      </c>
      <c r="D53">
        <v>230660.32258064521</v>
      </c>
      <c r="E53">
        <v>229586.90322580651</v>
      </c>
      <c r="F53">
        <v>229450.90322580651</v>
      </c>
      <c r="G53">
        <v>224092.09677419349</v>
      </c>
      <c r="H53">
        <v>232295.5161290323</v>
      </c>
      <c r="I53">
        <v>225102.22580645161</v>
      </c>
      <c r="J53">
        <v>224433.16129032261</v>
      </c>
      <c r="K53">
        <v>228937.09677419349</v>
      </c>
      <c r="L53">
        <v>222842.4838709677</v>
      </c>
      <c r="M53">
        <v>230083.77419354839</v>
      </c>
      <c r="N53">
        <v>227215.83870967739</v>
      </c>
      <c r="O53">
        <v>227539.80645161291</v>
      </c>
      <c r="P53">
        <v>229022.3548387097</v>
      </c>
      <c r="Q53">
        <v>234457.935483871</v>
      </c>
      <c r="R53">
        <v>228806.80645161291</v>
      </c>
      <c r="S53">
        <v>233350.70967741939</v>
      </c>
      <c r="T53">
        <v>227279.54838709679</v>
      </c>
      <c r="U53">
        <v>231608.09677419349</v>
      </c>
      <c r="V53">
        <v>265990.43137254898</v>
      </c>
      <c r="W53">
        <v>273058.60784313717</v>
      </c>
      <c r="X53">
        <v>283868.60784313717</v>
      </c>
      <c r="Y53">
        <v>266971.21568627452</v>
      </c>
      <c r="Z53">
        <v>274546.4705882353</v>
      </c>
      <c r="AA53">
        <v>260009.74509803919</v>
      </c>
      <c r="AB53">
        <v>274892.8823529412</v>
      </c>
      <c r="AC53">
        <v>268849.1176470588</v>
      </c>
      <c r="AD53">
        <v>262226.60784313717</v>
      </c>
      <c r="AE53">
        <v>259416.07843137259</v>
      </c>
      <c r="AF53">
        <v>259953.13725490199</v>
      </c>
      <c r="AG53">
        <v>258532.13725490199</v>
      </c>
      <c r="AH53">
        <v>251179.9803921569</v>
      </c>
      <c r="AI53">
        <v>256398.21568627449</v>
      </c>
      <c r="AJ53">
        <v>248789.74509803919</v>
      </c>
      <c r="AK53">
        <v>273535.09803921572</v>
      </c>
      <c r="AL53">
        <v>258071.96078431371</v>
      </c>
      <c r="AM53">
        <v>257124.31372549021</v>
      </c>
      <c r="AN53">
        <v>252875.1176470588</v>
      </c>
      <c r="AO53">
        <v>249464.4705882353</v>
      </c>
      <c r="AP53">
        <v>254737.82178217819</v>
      </c>
      <c r="AQ53">
        <v>265460.1386138614</v>
      </c>
      <c r="AR53">
        <v>253984.8118811881</v>
      </c>
      <c r="AS53">
        <v>259393.8613861386</v>
      </c>
      <c r="AT53">
        <v>268083.27722772269</v>
      </c>
      <c r="AU53">
        <v>252991.94059405939</v>
      </c>
      <c r="AV53">
        <v>269313.73267326731</v>
      </c>
      <c r="AW53">
        <v>267743.44554455439</v>
      </c>
      <c r="AX53">
        <v>256735.99009900991</v>
      </c>
      <c r="AY53">
        <v>256888.92079207921</v>
      </c>
      <c r="AZ53">
        <v>252829.66336633661</v>
      </c>
      <c r="BA53">
        <v>251800.43564356439</v>
      </c>
      <c r="BB53">
        <v>273681.1386138614</v>
      </c>
      <c r="BC53">
        <v>253387</v>
      </c>
      <c r="BD53">
        <v>256842.8613861386</v>
      </c>
      <c r="BE53">
        <v>250494.72277227719</v>
      </c>
      <c r="BF53">
        <v>249486.70297029699</v>
      </c>
      <c r="BG53">
        <v>274700.15841584158</v>
      </c>
      <c r="BH53">
        <v>262939.09900990099</v>
      </c>
      <c r="BI53">
        <v>250466.77227722769</v>
      </c>
    </row>
    <row r="54" spans="1:61" x14ac:dyDescent="0.25">
      <c r="A54" t="s">
        <v>7</v>
      </c>
      <c r="B54">
        <v>185299.45161290321</v>
      </c>
      <c r="C54">
        <v>186130.87096774191</v>
      </c>
      <c r="D54">
        <v>182129.80645161291</v>
      </c>
      <c r="E54">
        <v>185644.4838709677</v>
      </c>
      <c r="F54">
        <v>183025.87096774191</v>
      </c>
      <c r="G54">
        <v>184806.6451612903</v>
      </c>
      <c r="H54">
        <v>184216.12903225809</v>
      </c>
      <c r="I54">
        <v>182272</v>
      </c>
      <c r="J54">
        <v>182427.22580645161</v>
      </c>
      <c r="K54">
        <v>182467.03225806449</v>
      </c>
      <c r="L54">
        <v>184039.16129032261</v>
      </c>
      <c r="M54">
        <v>183322.74193548391</v>
      </c>
      <c r="N54">
        <v>183894.83870967739</v>
      </c>
      <c r="O54">
        <v>183948.67741935479</v>
      </c>
      <c r="P54">
        <v>184371.29032258061</v>
      </c>
      <c r="Q54">
        <v>181596.22580645161</v>
      </c>
      <c r="R54">
        <v>183047.12903225809</v>
      </c>
      <c r="S54">
        <v>181512.4193548387</v>
      </c>
      <c r="T54">
        <v>184460.4838709677</v>
      </c>
      <c r="U54">
        <v>184134.6451612903</v>
      </c>
      <c r="V54">
        <v>205185.9411764706</v>
      </c>
      <c r="W54">
        <v>205653.13725490199</v>
      </c>
      <c r="X54">
        <v>206341.1176470588</v>
      </c>
      <c r="Y54">
        <v>206359.62745098039</v>
      </c>
      <c r="Z54">
        <v>202535.0196078431</v>
      </c>
      <c r="AA54">
        <v>203574.72549019611</v>
      </c>
      <c r="AB54">
        <v>205053.19607843141</v>
      </c>
      <c r="AC54">
        <v>206071.4705882353</v>
      </c>
      <c r="AD54">
        <v>207785.43137254901</v>
      </c>
      <c r="AE54">
        <v>206838.78431372551</v>
      </c>
      <c r="AF54">
        <v>205360.9803921569</v>
      </c>
      <c r="AG54">
        <v>205318.72549019611</v>
      </c>
      <c r="AH54">
        <v>203092.09803921569</v>
      </c>
      <c r="AI54">
        <v>205494.5098039216</v>
      </c>
      <c r="AJ54">
        <v>205601.13725490199</v>
      </c>
      <c r="AK54">
        <v>204774.0196078431</v>
      </c>
      <c r="AL54">
        <v>204838.6470588235</v>
      </c>
      <c r="AM54">
        <v>204521.86274509801</v>
      </c>
      <c r="AN54">
        <v>205214.07843137259</v>
      </c>
      <c r="AO54">
        <v>201265.68627450979</v>
      </c>
      <c r="AP54">
        <v>197237.50495049509</v>
      </c>
      <c r="AQ54">
        <v>192849.26732673269</v>
      </c>
      <c r="AR54">
        <v>196147.1683168317</v>
      </c>
      <c r="AS54">
        <v>196014.48514851491</v>
      </c>
      <c r="AT54">
        <v>198393.2376237624</v>
      </c>
      <c r="AU54">
        <v>197378.8613861386</v>
      </c>
      <c r="AV54">
        <v>198333.2574257426</v>
      </c>
      <c r="AW54">
        <v>193416.3564356436</v>
      </c>
      <c r="AX54">
        <v>200760.2574257426</v>
      </c>
      <c r="AY54">
        <v>193780.46534653459</v>
      </c>
      <c r="AZ54">
        <v>196906.91089108909</v>
      </c>
      <c r="BA54">
        <v>199522.82178217819</v>
      </c>
      <c r="BB54">
        <v>199555.77227722769</v>
      </c>
      <c r="BC54">
        <v>196920.08910891091</v>
      </c>
      <c r="BD54">
        <v>198264.9306930693</v>
      </c>
      <c r="BE54">
        <v>198109.9306930693</v>
      </c>
      <c r="BF54">
        <v>197767.75247524749</v>
      </c>
      <c r="BG54">
        <v>195967.6435643564</v>
      </c>
      <c r="BH54">
        <v>199233.75247524749</v>
      </c>
      <c r="BI54">
        <v>196348.6237623762</v>
      </c>
    </row>
    <row r="55" spans="1:61" x14ac:dyDescent="0.25">
      <c r="A55" t="s">
        <v>8</v>
      </c>
      <c r="B55">
        <v>178707.61290322579</v>
      </c>
      <c r="C55">
        <v>178707.61290322579</v>
      </c>
      <c r="D55">
        <v>178707.61290322579</v>
      </c>
      <c r="E55">
        <v>178707.61290322579</v>
      </c>
      <c r="F55">
        <v>178707.61290322579</v>
      </c>
      <c r="G55">
        <v>178707.61290322579</v>
      </c>
      <c r="H55">
        <v>178707.61290322579</v>
      </c>
      <c r="I55">
        <v>178707.61290322579</v>
      </c>
      <c r="J55">
        <v>178707.61290322579</v>
      </c>
      <c r="K55">
        <v>178707.61290322579</v>
      </c>
      <c r="L55">
        <v>178707.61290322579</v>
      </c>
      <c r="M55">
        <v>178707.61290322579</v>
      </c>
      <c r="N55">
        <v>178707.61290322579</v>
      </c>
      <c r="O55">
        <v>178707.61290322579</v>
      </c>
      <c r="P55">
        <v>178707.61290322579</v>
      </c>
      <c r="Q55">
        <v>178707.61290322579</v>
      </c>
      <c r="R55">
        <v>178707.61290322579</v>
      </c>
      <c r="S55">
        <v>178707.61290322579</v>
      </c>
      <c r="T55">
        <v>178707.61290322579</v>
      </c>
      <c r="U55">
        <v>178707.61290322579</v>
      </c>
      <c r="V55">
        <v>202644.72549019611</v>
      </c>
      <c r="W55">
        <v>202645.13725490199</v>
      </c>
      <c r="X55">
        <v>202644.86274509801</v>
      </c>
      <c r="Y55">
        <v>202644.4509803922</v>
      </c>
      <c r="Z55">
        <v>202644.72549019611</v>
      </c>
      <c r="AA55">
        <v>202644.60784313729</v>
      </c>
      <c r="AB55">
        <v>202644.5882352941</v>
      </c>
      <c r="AC55">
        <v>202644.31372549021</v>
      </c>
      <c r="AD55">
        <v>202645</v>
      </c>
      <c r="AE55">
        <v>202644.66666666669</v>
      </c>
      <c r="AF55">
        <v>202644.66666666669</v>
      </c>
      <c r="AG55">
        <v>202644.5490196078</v>
      </c>
      <c r="AH55">
        <v>202644.5294117647</v>
      </c>
      <c r="AI55">
        <v>202644.13725490199</v>
      </c>
      <c r="AJ55">
        <v>202644.72549019611</v>
      </c>
      <c r="AK55">
        <v>202645.19607843141</v>
      </c>
      <c r="AL55">
        <v>202644.92156862741</v>
      </c>
      <c r="AM55">
        <v>202645.1176470588</v>
      </c>
      <c r="AN55">
        <v>202645.07843137259</v>
      </c>
      <c r="AO55">
        <v>202644.33333333331</v>
      </c>
      <c r="AP55">
        <v>224775.43564356439</v>
      </c>
      <c r="AQ55">
        <v>224776.26732673269</v>
      </c>
      <c r="AR55">
        <v>224777.3564356436</v>
      </c>
      <c r="AS55">
        <v>224774.46534653459</v>
      </c>
      <c r="AT55">
        <v>224776.65346534649</v>
      </c>
      <c r="AU55">
        <v>224776.60396039611</v>
      </c>
      <c r="AV55">
        <v>224775.50495049509</v>
      </c>
      <c r="AW55">
        <v>224775.20792079211</v>
      </c>
      <c r="AX55">
        <v>224775.17821782181</v>
      </c>
      <c r="AY55">
        <v>224775.7425742574</v>
      </c>
      <c r="AZ55">
        <v>224774.94059405939</v>
      </c>
      <c r="BA55">
        <v>224774.6930693069</v>
      </c>
      <c r="BB55">
        <v>224773.84158415839</v>
      </c>
      <c r="BC55">
        <v>224774.8811881188</v>
      </c>
      <c r="BD55">
        <v>224774.73267326731</v>
      </c>
      <c r="BE55">
        <v>224774.1386138614</v>
      </c>
      <c r="BF55">
        <v>224774.82178217819</v>
      </c>
      <c r="BG55">
        <v>224776.05940594061</v>
      </c>
      <c r="BH55">
        <v>224775</v>
      </c>
      <c r="BI55">
        <v>224777.03960396041</v>
      </c>
    </row>
    <row r="56" spans="1:61" x14ac:dyDescent="0.25">
      <c r="A56" t="s">
        <v>9</v>
      </c>
      <c r="B56">
        <v>200477.5806451613</v>
      </c>
      <c r="C56">
        <v>200387.4838709677</v>
      </c>
      <c r="D56">
        <v>191362.4193548387</v>
      </c>
      <c r="E56">
        <v>193400.80645161291</v>
      </c>
      <c r="F56">
        <v>235548.70967741939</v>
      </c>
      <c r="G56">
        <v>195596.16129032261</v>
      </c>
      <c r="H56">
        <v>205907.935483871</v>
      </c>
      <c r="I56">
        <v>200147.6451612903</v>
      </c>
      <c r="J56">
        <v>195461.87096774191</v>
      </c>
      <c r="K56">
        <v>213677.70967741939</v>
      </c>
      <c r="L56">
        <v>189554.03225806449</v>
      </c>
      <c r="M56">
        <v>208535.32258064521</v>
      </c>
      <c r="N56">
        <v>201306.61290322579</v>
      </c>
      <c r="O56">
        <v>193176.74193548391</v>
      </c>
      <c r="P56">
        <v>229410.38709677421</v>
      </c>
      <c r="Q56">
        <v>197830.61290322579</v>
      </c>
      <c r="R56">
        <v>191298.12903225809</v>
      </c>
      <c r="S56">
        <v>229709.12903225809</v>
      </c>
      <c r="T56">
        <v>213842.03225806449</v>
      </c>
      <c r="U56">
        <v>205623.12903225809</v>
      </c>
      <c r="V56">
        <v>230410.37254901961</v>
      </c>
      <c r="W56">
        <v>220636.37254901961</v>
      </c>
      <c r="X56">
        <v>217093</v>
      </c>
      <c r="Y56">
        <v>228900.84313725491</v>
      </c>
      <c r="Z56">
        <v>223499.84313725491</v>
      </c>
      <c r="AA56">
        <v>229165.9803921569</v>
      </c>
      <c r="AB56">
        <v>232531.9411764706</v>
      </c>
      <c r="AC56">
        <v>232870.31372549021</v>
      </c>
      <c r="AD56">
        <v>218869.92156862741</v>
      </c>
      <c r="AE56">
        <v>225679.25490196081</v>
      </c>
      <c r="AF56">
        <v>230799.33333333331</v>
      </c>
      <c r="AG56">
        <v>213000.82352941181</v>
      </c>
      <c r="AH56">
        <v>231084.31372549021</v>
      </c>
      <c r="AI56">
        <v>229067.90196078431</v>
      </c>
      <c r="AJ56">
        <v>223446.4705882353</v>
      </c>
      <c r="AK56">
        <v>213841.5490196078</v>
      </c>
      <c r="AL56">
        <v>222843.29411764699</v>
      </c>
      <c r="AM56">
        <v>224507.70588235301</v>
      </c>
      <c r="AN56">
        <v>236704.6470588235</v>
      </c>
      <c r="AO56">
        <v>224431.1176470588</v>
      </c>
      <c r="AP56">
        <v>217701.1188118812</v>
      </c>
      <c r="AQ56">
        <v>278555.41584158421</v>
      </c>
      <c r="AR56">
        <v>210014.8811881188</v>
      </c>
      <c r="AS56">
        <v>241320.7425742574</v>
      </c>
      <c r="AT56">
        <v>206604.9306930693</v>
      </c>
      <c r="AU56">
        <v>238628.84158415839</v>
      </c>
      <c r="AV56">
        <v>264284.87128712871</v>
      </c>
      <c r="AW56">
        <v>233521.91089108909</v>
      </c>
      <c r="AX56">
        <v>220551.7623762376</v>
      </c>
      <c r="AY56">
        <v>217710.1683168317</v>
      </c>
      <c r="AZ56">
        <v>205788.29702970301</v>
      </c>
      <c r="BA56">
        <v>256998.53465346541</v>
      </c>
      <c r="BB56">
        <v>231395.66336633661</v>
      </c>
      <c r="BC56">
        <v>217025.6435643564</v>
      </c>
      <c r="BD56">
        <v>224574.77227722769</v>
      </c>
      <c r="BE56">
        <v>303924.38613861392</v>
      </c>
      <c r="BF56">
        <v>255647.89108910889</v>
      </c>
      <c r="BG56">
        <v>223959.20792079211</v>
      </c>
      <c r="BH56">
        <v>214691.21782178219</v>
      </c>
      <c r="BI56">
        <v>241993.78217821781</v>
      </c>
    </row>
    <row r="57" spans="1:61" x14ac:dyDescent="0.25">
      <c r="A57" t="s">
        <v>10</v>
      </c>
      <c r="B57">
        <v>191236.064516129</v>
      </c>
      <c r="C57">
        <v>197796.5806451613</v>
      </c>
      <c r="D57">
        <v>189268.90322580651</v>
      </c>
      <c r="E57">
        <v>189960.4838709677</v>
      </c>
      <c r="F57">
        <v>190124.29032258061</v>
      </c>
      <c r="G57">
        <v>188723.45161290321</v>
      </c>
      <c r="H57">
        <v>188689.67741935479</v>
      </c>
      <c r="I57">
        <v>187658.74193548391</v>
      </c>
      <c r="J57">
        <v>197006.61290322579</v>
      </c>
      <c r="K57">
        <v>188294</v>
      </c>
      <c r="L57">
        <v>185477.4838709677</v>
      </c>
      <c r="M57">
        <v>189181.83870967739</v>
      </c>
      <c r="N57">
        <v>188406.25806451609</v>
      </c>
      <c r="O57">
        <v>185832.70967741939</v>
      </c>
      <c r="P57">
        <v>185046.25806451609</v>
      </c>
      <c r="Q57">
        <v>200973.45161290321</v>
      </c>
      <c r="R57">
        <v>189538.4838709677</v>
      </c>
      <c r="S57">
        <v>190190.70967741939</v>
      </c>
      <c r="T57">
        <v>197666.6451612903</v>
      </c>
      <c r="U57">
        <v>181549.38709677421</v>
      </c>
      <c r="V57">
        <v>216201.70588235301</v>
      </c>
      <c r="W57">
        <v>211577.66666666669</v>
      </c>
      <c r="X57">
        <v>207479.37254901961</v>
      </c>
      <c r="Y57">
        <v>210257.31372549021</v>
      </c>
      <c r="Z57">
        <v>230436.6470588235</v>
      </c>
      <c r="AA57">
        <v>216918.86274509801</v>
      </c>
      <c r="AB57">
        <v>221582.0588235294</v>
      </c>
      <c r="AC57">
        <v>214989.5294117647</v>
      </c>
      <c r="AD57">
        <v>211773.1176470588</v>
      </c>
      <c r="AE57">
        <v>214982.4509803922</v>
      </c>
      <c r="AF57">
        <v>214538.96078431371</v>
      </c>
      <c r="AG57">
        <v>226720.07843137259</v>
      </c>
      <c r="AH57">
        <v>216223.23529411771</v>
      </c>
      <c r="AI57">
        <v>229933.82352941181</v>
      </c>
      <c r="AJ57">
        <v>215896.66666666669</v>
      </c>
      <c r="AK57">
        <v>207919.09803921569</v>
      </c>
      <c r="AL57">
        <v>231156.56862745099</v>
      </c>
      <c r="AM57">
        <v>225840.5882352941</v>
      </c>
      <c r="AN57">
        <v>216969.13725490199</v>
      </c>
      <c r="AO57">
        <v>212094.4901960784</v>
      </c>
      <c r="AP57">
        <v>223616.4752475248</v>
      </c>
      <c r="AQ57">
        <v>210956.56435643561</v>
      </c>
      <c r="AR57">
        <v>223158.38613861389</v>
      </c>
      <c r="AS57">
        <v>219517.28712871289</v>
      </c>
      <c r="AT57">
        <v>222325.6237623762</v>
      </c>
      <c r="AU57">
        <v>212355.08910891091</v>
      </c>
      <c r="AV57">
        <v>214640.87128712871</v>
      </c>
      <c r="AW57">
        <v>232343.2376237624</v>
      </c>
      <c r="AX57">
        <v>225333.19801980199</v>
      </c>
      <c r="AY57">
        <v>217755.9504950495</v>
      </c>
      <c r="AZ57">
        <v>227495.36633663371</v>
      </c>
      <c r="BA57">
        <v>233071.46534653459</v>
      </c>
      <c r="BB57">
        <v>210251.41584158421</v>
      </c>
      <c r="BC57">
        <v>219590.3564356436</v>
      </c>
      <c r="BD57">
        <v>231286.00990099009</v>
      </c>
      <c r="BE57">
        <v>215742.70297029699</v>
      </c>
      <c r="BF57">
        <v>228643.75247524749</v>
      </c>
      <c r="BG57">
        <v>212957.61386138611</v>
      </c>
      <c r="BH57">
        <v>223454.85148514851</v>
      </c>
      <c r="BI57">
        <v>213390.14851485149</v>
      </c>
    </row>
    <row r="58" spans="1:61" x14ac:dyDescent="0.25">
      <c r="A58" t="s">
        <v>11</v>
      </c>
      <c r="B58">
        <v>199663.83870967739</v>
      </c>
      <c r="C58">
        <v>195490.12903225809</v>
      </c>
      <c r="D58">
        <v>202058.5806451613</v>
      </c>
      <c r="E58">
        <v>211021.5161290323</v>
      </c>
      <c r="F58">
        <v>191325.29032258061</v>
      </c>
      <c r="G58">
        <v>201944.16129032261</v>
      </c>
      <c r="H58">
        <v>210279</v>
      </c>
      <c r="I58">
        <v>197312.16129032261</v>
      </c>
      <c r="J58">
        <v>210048.87096774191</v>
      </c>
      <c r="K58">
        <v>201652.6451612903</v>
      </c>
      <c r="L58">
        <v>213880.064516129</v>
      </c>
      <c r="M58">
        <v>222772.96774193551</v>
      </c>
      <c r="N58">
        <v>204989.70967741939</v>
      </c>
      <c r="O58">
        <v>201402.22580645161</v>
      </c>
      <c r="P58">
        <v>219692.4193548387</v>
      </c>
      <c r="Q58">
        <v>197342.03225806449</v>
      </c>
      <c r="R58">
        <v>238631.67741935479</v>
      </c>
      <c r="S58">
        <v>210552.38709677421</v>
      </c>
      <c r="T58">
        <v>196834.87096774191</v>
      </c>
      <c r="U58">
        <v>211054.09677419349</v>
      </c>
      <c r="V58">
        <v>238280.07843137259</v>
      </c>
      <c r="W58">
        <v>226251.5882352941</v>
      </c>
      <c r="X58">
        <v>253873.27450980389</v>
      </c>
      <c r="Y58">
        <v>212956.1176470588</v>
      </c>
      <c r="Z58">
        <v>245965.07843137259</v>
      </c>
      <c r="AA58">
        <v>239316.92156862741</v>
      </c>
      <c r="AB58">
        <v>228559</v>
      </c>
      <c r="AC58">
        <v>228538.31372549021</v>
      </c>
      <c r="AD58">
        <v>213775.84313725491</v>
      </c>
      <c r="AE58">
        <v>219595.4509803922</v>
      </c>
      <c r="AF58">
        <v>222661.4509803922</v>
      </c>
      <c r="AG58">
        <v>214883</v>
      </c>
      <c r="AH58">
        <v>234515.31372549021</v>
      </c>
      <c r="AI58">
        <v>240784.37254901961</v>
      </c>
      <c r="AJ58">
        <v>227796.76470588229</v>
      </c>
      <c r="AK58">
        <v>222673.4901960784</v>
      </c>
      <c r="AL58">
        <v>212058.19607843141</v>
      </c>
      <c r="AM58">
        <v>218896.4901960784</v>
      </c>
      <c r="AN58">
        <v>219183.23529411771</v>
      </c>
      <c r="AO58">
        <v>226363.23529411771</v>
      </c>
      <c r="AP58">
        <v>256888.34653465351</v>
      </c>
      <c r="AQ58">
        <v>274381.60396039602</v>
      </c>
      <c r="AR58">
        <v>237819.54455445541</v>
      </c>
      <c r="AS58">
        <v>238613.56435643561</v>
      </c>
      <c r="AT58">
        <v>242891.0495049505</v>
      </c>
      <c r="AU58">
        <v>220409.6237623762</v>
      </c>
      <c r="AV58">
        <v>227248.14851485149</v>
      </c>
      <c r="AW58">
        <v>204030.38613861389</v>
      </c>
      <c r="AX58">
        <v>260373.97029702971</v>
      </c>
      <c r="AY58">
        <v>223060.14851485149</v>
      </c>
      <c r="AZ58">
        <v>211453.89108910889</v>
      </c>
      <c r="BA58">
        <v>231035.0693069307</v>
      </c>
      <c r="BB58">
        <v>247809.68316831681</v>
      </c>
      <c r="BC58">
        <v>249640.65346534649</v>
      </c>
      <c r="BD58">
        <v>226619.03960396041</v>
      </c>
      <c r="BE58">
        <v>211923.19801980199</v>
      </c>
      <c r="BF58">
        <v>208675.8613861386</v>
      </c>
      <c r="BG58">
        <v>229476.36633663371</v>
      </c>
      <c r="BH58">
        <v>241005.1386138614</v>
      </c>
      <c r="BI58">
        <v>212066.66336633661</v>
      </c>
    </row>
    <row r="59" spans="1:61" x14ac:dyDescent="0.25">
      <c r="A59" t="s">
        <v>12</v>
      </c>
      <c r="B59">
        <v>204312.74193548391</v>
      </c>
      <c r="C59">
        <v>190083.70967741939</v>
      </c>
      <c r="D59">
        <v>195131.03225806449</v>
      </c>
      <c r="E59">
        <v>203488.19354838709</v>
      </c>
      <c r="F59">
        <v>198221.70967741939</v>
      </c>
      <c r="G59">
        <v>200462.25806451609</v>
      </c>
      <c r="H59">
        <v>195832.70967741939</v>
      </c>
      <c r="I59">
        <v>203761.96774193551</v>
      </c>
      <c r="J59">
        <v>191389.09677419349</v>
      </c>
      <c r="K59">
        <v>200662.38709677421</v>
      </c>
      <c r="L59">
        <v>223169</v>
      </c>
      <c r="M59">
        <v>199252.54838709679</v>
      </c>
      <c r="N59">
        <v>196509.61290322579</v>
      </c>
      <c r="O59">
        <v>190221.25806451609</v>
      </c>
      <c r="P59">
        <v>194931.4193548387</v>
      </c>
      <c r="Q59">
        <v>206187.96774193551</v>
      </c>
      <c r="R59">
        <v>218332.4838709677</v>
      </c>
      <c r="S59">
        <v>193795.09677419349</v>
      </c>
      <c r="T59">
        <v>193970.4193548387</v>
      </c>
      <c r="U59">
        <v>201224.38709677421</v>
      </c>
      <c r="V59">
        <v>226980.1176470588</v>
      </c>
      <c r="W59">
        <v>225602.60784313729</v>
      </c>
      <c r="X59">
        <v>231968.23529411771</v>
      </c>
      <c r="Y59">
        <v>226456.1176470588</v>
      </c>
      <c r="Z59">
        <v>231222.27450980389</v>
      </c>
      <c r="AA59">
        <v>227179.0588235294</v>
      </c>
      <c r="AB59">
        <v>218404.4509803922</v>
      </c>
      <c r="AC59">
        <v>225581.9411764706</v>
      </c>
      <c r="AD59">
        <v>222216.96078431371</v>
      </c>
      <c r="AE59">
        <v>212005.62745098039</v>
      </c>
      <c r="AF59">
        <v>222301.72549019611</v>
      </c>
      <c r="AG59">
        <v>225933.78431372551</v>
      </c>
      <c r="AH59">
        <v>233220.27450980389</v>
      </c>
      <c r="AI59">
        <v>231429.0196078431</v>
      </c>
      <c r="AJ59">
        <v>218114.15686274509</v>
      </c>
      <c r="AK59">
        <v>219320.70588235301</v>
      </c>
      <c r="AL59">
        <v>220432.19607843141</v>
      </c>
      <c r="AM59">
        <v>219264.5882352941</v>
      </c>
      <c r="AN59">
        <v>250287.70588235301</v>
      </c>
      <c r="AO59">
        <v>224821.03921568629</v>
      </c>
      <c r="AP59">
        <v>216312.5742574257</v>
      </c>
      <c r="AQ59">
        <v>233961.0495049505</v>
      </c>
      <c r="AR59">
        <v>220549.08910891091</v>
      </c>
      <c r="AS59">
        <v>239537.79207920789</v>
      </c>
      <c r="AT59">
        <v>219119.1881188119</v>
      </c>
      <c r="AU59">
        <v>237175.3762376238</v>
      </c>
      <c r="AV59">
        <v>219753.6930693069</v>
      </c>
      <c r="AW59">
        <v>236737.85148514851</v>
      </c>
      <c r="AX59">
        <v>232407.48514851491</v>
      </c>
      <c r="AY59">
        <v>224647.80198019801</v>
      </c>
      <c r="AZ59">
        <v>244599.96039603959</v>
      </c>
      <c r="BA59">
        <v>225762.2376237624</v>
      </c>
      <c r="BB59">
        <v>242590.4257425743</v>
      </c>
      <c r="BC59">
        <v>231922.0693069307</v>
      </c>
      <c r="BD59">
        <v>237140.09900990099</v>
      </c>
      <c r="BE59">
        <v>222090.97029702971</v>
      </c>
      <c r="BF59">
        <v>254439.22772277231</v>
      </c>
      <c r="BG59">
        <v>230820.6732673267</v>
      </c>
      <c r="BH59">
        <v>224771.27722772281</v>
      </c>
      <c r="BI59">
        <v>224967.90099009901</v>
      </c>
    </row>
    <row r="60" spans="1:61" x14ac:dyDescent="0.25">
      <c r="A60" t="s">
        <v>13</v>
      </c>
      <c r="B60">
        <v>198139.29032258061</v>
      </c>
      <c r="C60">
        <v>211498.74193548391</v>
      </c>
      <c r="D60">
        <v>193783.80645161291</v>
      </c>
      <c r="E60">
        <v>204146.90322580651</v>
      </c>
      <c r="F60">
        <v>192677.19354838709</v>
      </c>
      <c r="G60">
        <v>192649.6451612903</v>
      </c>
      <c r="H60">
        <v>277536.32258064521</v>
      </c>
      <c r="I60">
        <v>212811.4193548387</v>
      </c>
      <c r="J60">
        <v>217334.16129032261</v>
      </c>
      <c r="K60">
        <v>200165.6451612903</v>
      </c>
      <c r="L60">
        <v>195979.77419354839</v>
      </c>
      <c r="M60">
        <v>191179.16129032261</v>
      </c>
      <c r="N60">
        <v>235473.77419354839</v>
      </c>
      <c r="O60">
        <v>214198.96774193551</v>
      </c>
      <c r="P60">
        <v>195590.70967741939</v>
      </c>
      <c r="Q60">
        <v>212826.03225806449</v>
      </c>
      <c r="R60">
        <v>209301.67741935479</v>
      </c>
      <c r="S60">
        <v>195178.4193548387</v>
      </c>
      <c r="T60">
        <v>190676.3548387097</v>
      </c>
      <c r="U60">
        <v>208441.16129032261</v>
      </c>
      <c r="V60">
        <v>233468.0588235294</v>
      </c>
      <c r="W60">
        <v>218211.86274509801</v>
      </c>
      <c r="X60">
        <v>242739.39215686271</v>
      </c>
      <c r="Y60">
        <v>227141.13725490199</v>
      </c>
      <c r="Z60">
        <v>226601.84313725491</v>
      </c>
      <c r="AA60">
        <v>225365.5294117647</v>
      </c>
      <c r="AB60">
        <v>214889.90196078431</v>
      </c>
      <c r="AC60">
        <v>263433.23529411771</v>
      </c>
      <c r="AD60">
        <v>242310.23529411771</v>
      </c>
      <c r="AE60">
        <v>250874.5294117647</v>
      </c>
      <c r="AF60">
        <v>279247.17647058831</v>
      </c>
      <c r="AG60">
        <v>214000.68627450979</v>
      </c>
      <c r="AH60">
        <v>230296.3529411765</v>
      </c>
      <c r="AI60">
        <v>220153.74509803919</v>
      </c>
      <c r="AJ60">
        <v>217269.37254901961</v>
      </c>
      <c r="AK60">
        <v>253927.56862745099</v>
      </c>
      <c r="AL60">
        <v>278196.0588235294</v>
      </c>
      <c r="AM60">
        <v>250863.5294117647</v>
      </c>
      <c r="AN60">
        <v>217903.62745098039</v>
      </c>
      <c r="AO60">
        <v>228575.96078431371</v>
      </c>
      <c r="AP60">
        <v>225249.9306930693</v>
      </c>
      <c r="AQ60">
        <v>247611.34653465351</v>
      </c>
      <c r="AR60">
        <v>231373.6435643564</v>
      </c>
      <c r="AS60">
        <v>209483.08910891091</v>
      </c>
      <c r="AT60">
        <v>244288.72277227719</v>
      </c>
      <c r="AU60">
        <v>233548.97029702971</v>
      </c>
      <c r="AV60">
        <v>231531.70297029699</v>
      </c>
      <c r="AW60">
        <v>214090.0495049505</v>
      </c>
      <c r="AX60">
        <v>231858.55445544561</v>
      </c>
      <c r="AY60">
        <v>228610.40594059409</v>
      </c>
      <c r="AZ60">
        <v>234563.08910891091</v>
      </c>
      <c r="BA60">
        <v>218240.6930693069</v>
      </c>
      <c r="BB60">
        <v>222670.1881188119</v>
      </c>
      <c r="BC60">
        <v>257355.39603960389</v>
      </c>
      <c r="BD60">
        <v>235758.38613861389</v>
      </c>
      <c r="BE60">
        <v>230090.87128712871</v>
      </c>
      <c r="BF60">
        <v>212300.56435643561</v>
      </c>
      <c r="BG60">
        <v>209244.9801980198</v>
      </c>
      <c r="BH60">
        <v>231940.14851485149</v>
      </c>
      <c r="BI60">
        <v>256585.8316831683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F5AFC-496F-4A0D-A928-6614967727A2}">
  <dimension ref="A1:C13"/>
  <sheetViews>
    <sheetView tabSelected="1" workbookViewId="0">
      <selection activeCell="B8" sqref="B8:B13"/>
    </sheetView>
  </sheetViews>
  <sheetFormatPr defaultRowHeight="15" x14ac:dyDescent="0.25"/>
  <sheetData>
    <row r="1" spans="1:3" x14ac:dyDescent="0.25">
      <c r="A1" t="s">
        <v>23</v>
      </c>
    </row>
    <row r="2" spans="1:3" ht="15.75" thickBot="1" x14ac:dyDescent="0.3"/>
    <row r="3" spans="1:3" x14ac:dyDescent="0.25">
      <c r="A3" s="8"/>
      <c r="B3" s="8" t="s">
        <v>34</v>
      </c>
      <c r="C3" s="8" t="s">
        <v>35</v>
      </c>
    </row>
    <row r="4" spans="1:3" x14ac:dyDescent="0.25">
      <c r="A4" s="6" t="s">
        <v>24</v>
      </c>
      <c r="B4" s="6">
        <v>838026431.04595828</v>
      </c>
      <c r="C4" s="6">
        <v>1030689037.2083337</v>
      </c>
    </row>
    <row r="5" spans="1:3" x14ac:dyDescent="0.25">
      <c r="A5" s="6" t="s">
        <v>25</v>
      </c>
      <c r="B5" s="6">
        <v>1036143137494677</v>
      </c>
      <c r="C5" s="6">
        <v>396539098565498.19</v>
      </c>
    </row>
    <row r="6" spans="1:3" x14ac:dyDescent="0.25">
      <c r="A6" s="6" t="s">
        <v>26</v>
      </c>
      <c r="B6" s="6">
        <v>20</v>
      </c>
      <c r="C6" s="6">
        <v>20</v>
      </c>
    </row>
    <row r="7" spans="1:3" x14ac:dyDescent="0.25">
      <c r="A7" s="6" t="s">
        <v>27</v>
      </c>
      <c r="B7" s="6">
        <v>0</v>
      </c>
      <c r="C7" s="6"/>
    </row>
    <row r="8" spans="1:3" x14ac:dyDescent="0.25">
      <c r="A8" s="6" t="s">
        <v>28</v>
      </c>
      <c r="B8" s="6">
        <v>32</v>
      </c>
      <c r="C8" s="6"/>
    </row>
    <row r="9" spans="1:3" x14ac:dyDescent="0.25">
      <c r="A9" s="6" t="s">
        <v>29</v>
      </c>
      <c r="B9" s="6">
        <v>-22.763418901405068</v>
      </c>
      <c r="C9" s="6"/>
    </row>
    <row r="10" spans="1:3" x14ac:dyDescent="0.25">
      <c r="A10" s="6" t="s">
        <v>30</v>
      </c>
      <c r="B10" s="6">
        <v>1.2347461564025787E-21</v>
      </c>
      <c r="C10" s="6"/>
    </row>
    <row r="11" spans="1:3" x14ac:dyDescent="0.25">
      <c r="A11" s="6" t="s">
        <v>31</v>
      </c>
      <c r="B11" s="6">
        <v>1.6938887483837093</v>
      </c>
      <c r="C11" s="6"/>
    </row>
    <row r="12" spans="1:3" x14ac:dyDescent="0.25">
      <c r="A12" s="6" t="s">
        <v>32</v>
      </c>
      <c r="B12" s="6">
        <v>2.4694923128051575E-21</v>
      </c>
      <c r="C12" s="6"/>
    </row>
    <row r="13" spans="1:3" ht="15.75" thickBot="1" x14ac:dyDescent="0.3">
      <c r="A13" s="7" t="s">
        <v>33</v>
      </c>
      <c r="B13" s="7">
        <v>2.0369333434601011</v>
      </c>
      <c r="C13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I60"/>
  <sheetViews>
    <sheetView topLeftCell="AO24" zoomScaleNormal="100" workbookViewId="0">
      <selection activeCell="G26" sqref="G26"/>
    </sheetView>
  </sheetViews>
  <sheetFormatPr defaultColWidth="8.5703125" defaultRowHeight="15" x14ac:dyDescent="0.25"/>
  <cols>
    <col min="1" max="1" width="24" customWidth="1"/>
    <col min="2" max="2" width="19" customWidth="1"/>
    <col min="3" max="6" width="20" customWidth="1"/>
    <col min="7" max="7" width="19" customWidth="1"/>
    <col min="8" max="9" width="20" customWidth="1"/>
    <col min="10" max="11" width="19" customWidth="1"/>
    <col min="12" max="13" width="20" customWidth="1"/>
    <col min="14" max="15" width="19" customWidth="1"/>
    <col min="16" max="19" width="20" customWidth="1"/>
    <col min="20" max="21" width="19" customWidth="1"/>
    <col min="22" max="61" width="20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1</v>
      </c>
      <c r="C2">
        <v>760645475.3550961</v>
      </c>
      <c r="D2">
        <v>739110620.27879632</v>
      </c>
      <c r="E2">
        <v>807831203.05962968</v>
      </c>
      <c r="F2">
        <v>18690048.58730901</v>
      </c>
    </row>
    <row r="3" spans="1:6" x14ac:dyDescent="0.25">
      <c r="A3" t="s">
        <v>6</v>
      </c>
      <c r="B3">
        <v>2</v>
      </c>
      <c r="C3">
        <v>838026431.0459584</v>
      </c>
      <c r="D3">
        <v>782625585.57207191</v>
      </c>
      <c r="E3">
        <v>903777574.37370384</v>
      </c>
      <c r="F3">
        <v>31374129.161140759</v>
      </c>
    </row>
    <row r="4" spans="1:6" x14ac:dyDescent="0.25">
      <c r="A4" t="s">
        <v>6</v>
      </c>
      <c r="B4">
        <v>3</v>
      </c>
      <c r="C4">
        <v>800932005.05038083</v>
      </c>
      <c r="D4">
        <v>762911514.83796299</v>
      </c>
      <c r="E4">
        <v>955474431.8552779</v>
      </c>
      <c r="F4">
        <v>40413178.469860822</v>
      </c>
    </row>
    <row r="5" spans="1:6" x14ac:dyDescent="0.25">
      <c r="A5" t="s">
        <v>7</v>
      </c>
      <c r="B5">
        <v>1</v>
      </c>
      <c r="C5">
        <v>817266219.08333337</v>
      </c>
      <c r="D5">
        <v>787647713.33333337</v>
      </c>
      <c r="E5">
        <v>874613293.33333337</v>
      </c>
      <c r="F5">
        <v>23954467.5953345</v>
      </c>
    </row>
    <row r="6" spans="1:6" x14ac:dyDescent="0.25">
      <c r="A6" t="s">
        <v>7</v>
      </c>
      <c r="B6">
        <v>2</v>
      </c>
      <c r="C6">
        <v>936768547.54166663</v>
      </c>
      <c r="D6">
        <v>848903912.5</v>
      </c>
      <c r="E6">
        <v>992349746.66666675</v>
      </c>
      <c r="F6">
        <v>33391735.5474272</v>
      </c>
    </row>
    <row r="7" spans="1:6" x14ac:dyDescent="0.25">
      <c r="A7" t="s">
        <v>7</v>
      </c>
      <c r="B7">
        <v>3</v>
      </c>
      <c r="C7">
        <v>1001791277.75</v>
      </c>
      <c r="D7">
        <v>917582779.16666663</v>
      </c>
      <c r="E7">
        <v>1143236739.166667</v>
      </c>
      <c r="F7">
        <v>60380268.936948203</v>
      </c>
    </row>
    <row r="8" spans="1:6" x14ac:dyDescent="0.25">
      <c r="A8" t="s">
        <v>8</v>
      </c>
      <c r="B8">
        <v>1</v>
      </c>
      <c r="C8">
        <v>824200412</v>
      </c>
      <c r="D8">
        <v>824182780</v>
      </c>
      <c r="E8">
        <v>824221820</v>
      </c>
      <c r="F8">
        <v>10000.140799008779</v>
      </c>
    </row>
    <row r="9" spans="1:6" x14ac:dyDescent="0.25">
      <c r="A9" t="s">
        <v>8</v>
      </c>
      <c r="B9">
        <v>2</v>
      </c>
      <c r="C9">
        <v>905701669.66666663</v>
      </c>
      <c r="D9">
        <v>905684421.66666663</v>
      </c>
      <c r="E9">
        <v>905720901.66666663</v>
      </c>
      <c r="F9">
        <v>9103.9297009588117</v>
      </c>
    </row>
    <row r="10" spans="1:6" x14ac:dyDescent="0.25">
      <c r="A10" t="s">
        <v>8</v>
      </c>
      <c r="B10">
        <v>3</v>
      </c>
      <c r="C10">
        <v>1310159343</v>
      </c>
      <c r="D10">
        <v>1310139055</v>
      </c>
      <c r="E10">
        <v>1310181295</v>
      </c>
      <c r="F10">
        <v>10182.03594572323</v>
      </c>
    </row>
    <row r="11" spans="1:6" x14ac:dyDescent="0.25">
      <c r="A11" t="s">
        <v>9</v>
      </c>
      <c r="B11">
        <v>1</v>
      </c>
      <c r="C11">
        <v>965936643.95833337</v>
      </c>
      <c r="D11">
        <v>787090263.33333325</v>
      </c>
      <c r="E11">
        <v>1512984273.333333</v>
      </c>
      <c r="F11">
        <v>187844898.9353129</v>
      </c>
    </row>
    <row r="12" spans="1:6" ht="15" customHeight="1" x14ac:dyDescent="0.25">
      <c r="A12" s="1" t="s">
        <v>9</v>
      </c>
      <c r="B12">
        <v>2</v>
      </c>
      <c r="C12">
        <v>1132451404.958333</v>
      </c>
      <c r="D12">
        <v>948127789.16666663</v>
      </c>
      <c r="E12">
        <v>1338272415</v>
      </c>
      <c r="F12">
        <v>110683983.7140719</v>
      </c>
    </row>
    <row r="13" spans="1:6" x14ac:dyDescent="0.25">
      <c r="A13" t="s">
        <v>9</v>
      </c>
      <c r="B13">
        <v>3</v>
      </c>
      <c r="C13">
        <v>1423571202.791667</v>
      </c>
      <c r="D13">
        <v>964001027.5</v>
      </c>
      <c r="E13">
        <v>2073714486.666667</v>
      </c>
      <c r="F13">
        <v>267309484.79218441</v>
      </c>
    </row>
    <row r="14" spans="1:6" x14ac:dyDescent="0.25">
      <c r="A14" t="s">
        <v>10</v>
      </c>
      <c r="B14">
        <v>1</v>
      </c>
      <c r="C14">
        <v>866197674.20833325</v>
      </c>
      <c r="D14">
        <v>856331073.33333325</v>
      </c>
      <c r="E14">
        <v>880248473.33333337</v>
      </c>
      <c r="F14">
        <v>5635079.5841277111</v>
      </c>
    </row>
    <row r="15" spans="1:6" x14ac:dyDescent="0.25">
      <c r="A15" t="s">
        <v>10</v>
      </c>
      <c r="B15">
        <v>2</v>
      </c>
      <c r="C15">
        <v>1030689037.208333</v>
      </c>
      <c r="D15">
        <v>1005219251.666667</v>
      </c>
      <c r="E15">
        <v>1073097734.166667</v>
      </c>
      <c r="F15">
        <v>19409073.744958062</v>
      </c>
    </row>
    <row r="16" spans="1:6" x14ac:dyDescent="0.25">
      <c r="A16" t="s">
        <v>10</v>
      </c>
      <c r="B16">
        <v>3</v>
      </c>
      <c r="C16">
        <v>1255740957.625</v>
      </c>
      <c r="D16">
        <v>1221267176.666667</v>
      </c>
      <c r="E16">
        <v>1296689985.833333</v>
      </c>
      <c r="F16">
        <v>21154825.99533996</v>
      </c>
    </row>
    <row r="17" spans="1:6" x14ac:dyDescent="0.25">
      <c r="A17" t="s">
        <v>11</v>
      </c>
      <c r="B17">
        <v>1</v>
      </c>
      <c r="C17">
        <v>968629654.04166663</v>
      </c>
      <c r="D17">
        <v>805478011.66666663</v>
      </c>
      <c r="E17">
        <v>1162348500</v>
      </c>
      <c r="F17">
        <v>101714460.2841551</v>
      </c>
    </row>
    <row r="18" spans="1:6" x14ac:dyDescent="0.25">
      <c r="A18" t="s">
        <v>11</v>
      </c>
      <c r="B18">
        <v>2</v>
      </c>
      <c r="C18">
        <v>1179749268.958333</v>
      </c>
      <c r="D18">
        <v>970984179.16666663</v>
      </c>
      <c r="E18">
        <v>1489380524.166667</v>
      </c>
      <c r="F18">
        <v>157910125.62503111</v>
      </c>
    </row>
    <row r="19" spans="1:6" x14ac:dyDescent="0.25">
      <c r="A19" t="s">
        <v>11</v>
      </c>
      <c r="B19">
        <v>3</v>
      </c>
      <c r="C19">
        <v>1435004016.25</v>
      </c>
      <c r="D19">
        <v>1130637951.666667</v>
      </c>
      <c r="E19">
        <v>1874567094.166667</v>
      </c>
      <c r="F19">
        <v>223072150.55089021</v>
      </c>
    </row>
    <row r="20" spans="1:6" ht="15" customHeight="1" x14ac:dyDescent="0.25">
      <c r="A20" s="1" t="s">
        <v>12</v>
      </c>
      <c r="B20">
        <v>1</v>
      </c>
      <c r="C20">
        <v>922751452.95833337</v>
      </c>
      <c r="D20">
        <v>862721123.33333337</v>
      </c>
      <c r="E20">
        <v>1114119233.333333</v>
      </c>
      <c r="F20">
        <v>60334647.785577118</v>
      </c>
    </row>
    <row r="21" spans="1:6" x14ac:dyDescent="0.25">
      <c r="A21" t="s">
        <v>12</v>
      </c>
      <c r="B21">
        <v>2</v>
      </c>
      <c r="C21">
        <v>1115508070.708333</v>
      </c>
      <c r="D21">
        <v>1030193243.333333</v>
      </c>
      <c r="E21">
        <v>1262461612.5</v>
      </c>
      <c r="F21">
        <v>63843449.887648277</v>
      </c>
    </row>
    <row r="22" spans="1:6" x14ac:dyDescent="0.25">
      <c r="A22" t="s">
        <v>12</v>
      </c>
      <c r="B22">
        <v>3</v>
      </c>
      <c r="C22">
        <v>1386276856.583333</v>
      </c>
      <c r="D22">
        <v>1299872046.666667</v>
      </c>
      <c r="E22">
        <v>1499338127.5</v>
      </c>
      <c r="F22">
        <v>60416528.39952933</v>
      </c>
    </row>
    <row r="23" spans="1:6" ht="15" customHeight="1" x14ac:dyDescent="0.25">
      <c r="A23" s="1" t="s">
        <v>13</v>
      </c>
      <c r="B23">
        <v>1</v>
      </c>
      <c r="C23">
        <v>982749169.33333337</v>
      </c>
      <c r="D23">
        <v>845200254.16666663</v>
      </c>
      <c r="E23">
        <v>1509693526.666667</v>
      </c>
      <c r="F23">
        <v>162584282.2957646</v>
      </c>
    </row>
    <row r="24" spans="1:6" x14ac:dyDescent="0.25">
      <c r="A24" t="s">
        <v>13</v>
      </c>
      <c r="B24">
        <v>2</v>
      </c>
      <c r="C24">
        <v>1320468953.416667</v>
      </c>
      <c r="D24">
        <v>939625052.5</v>
      </c>
      <c r="E24">
        <v>2080706126.666667</v>
      </c>
      <c r="F24">
        <v>280744942.81318212</v>
      </c>
    </row>
    <row r="25" spans="1:6" x14ac:dyDescent="0.25">
      <c r="A25" t="s">
        <v>13</v>
      </c>
      <c r="B25">
        <v>3</v>
      </c>
      <c r="C25">
        <v>1404942039.333333</v>
      </c>
      <c r="D25">
        <v>1010839888.333333</v>
      </c>
      <c r="E25">
        <v>1747417314.166667</v>
      </c>
      <c r="F25">
        <v>180159467.70758039</v>
      </c>
    </row>
    <row r="28" spans="1:6" ht="15" customHeight="1" x14ac:dyDescent="0.25">
      <c r="A28" s="4" t="s">
        <v>14</v>
      </c>
    </row>
    <row r="29" spans="1:6" x14ac:dyDescent="0.25">
      <c r="A29" t="s">
        <v>6</v>
      </c>
      <c r="C29">
        <v>799867970.48381174</v>
      </c>
      <c r="D29">
        <v>739110620.27879632</v>
      </c>
      <c r="E29">
        <v>955474431.8552779</v>
      </c>
      <c r="F29">
        <v>44581323.806449927</v>
      </c>
    </row>
    <row r="30" spans="1:6" x14ac:dyDescent="0.25">
      <c r="A30" t="s">
        <v>7</v>
      </c>
      <c r="C30">
        <v>918608681.45833337</v>
      </c>
      <c r="D30">
        <v>787647713.33333337</v>
      </c>
      <c r="E30">
        <v>1143236739.166667</v>
      </c>
      <c r="F30">
        <v>87281195.263276741</v>
      </c>
    </row>
    <row r="31" spans="1:6" ht="15" customHeight="1" x14ac:dyDescent="0.25">
      <c r="A31" s="1" t="s">
        <v>8</v>
      </c>
      <c r="C31">
        <v>1013353808.222222</v>
      </c>
      <c r="D31">
        <v>824182780</v>
      </c>
      <c r="E31">
        <v>1310181295</v>
      </c>
      <c r="F31">
        <v>212494326.19818851</v>
      </c>
    </row>
    <row r="32" spans="1:6" x14ac:dyDescent="0.25">
      <c r="A32" t="s">
        <v>9</v>
      </c>
      <c r="C32">
        <v>1173986417.2361109</v>
      </c>
      <c r="D32">
        <v>787090263.33333325</v>
      </c>
      <c r="E32">
        <v>2073714486.666667</v>
      </c>
      <c r="F32">
        <v>274647314.1766609</v>
      </c>
    </row>
    <row r="33" spans="1:6" x14ac:dyDescent="0.25">
      <c r="A33" t="s">
        <v>10</v>
      </c>
      <c r="C33">
        <v>1050875889.6805561</v>
      </c>
      <c r="D33">
        <v>856331073.33333325</v>
      </c>
      <c r="E33">
        <v>1296689985.833333</v>
      </c>
      <c r="F33">
        <v>160560727.1149781</v>
      </c>
    </row>
    <row r="34" spans="1:6" x14ac:dyDescent="0.25">
      <c r="A34" t="s">
        <v>11</v>
      </c>
      <c r="C34">
        <v>1194460979.75</v>
      </c>
      <c r="D34">
        <v>805478011.66666663</v>
      </c>
      <c r="E34">
        <v>1874567094.166667</v>
      </c>
      <c r="F34">
        <v>254374918.88382021</v>
      </c>
    </row>
    <row r="35" spans="1:6" ht="15" customHeight="1" x14ac:dyDescent="0.25">
      <c r="A35" s="1" t="s">
        <v>12</v>
      </c>
      <c r="C35">
        <v>1141512126.75</v>
      </c>
      <c r="D35">
        <v>862721123.33333337</v>
      </c>
      <c r="E35">
        <v>1499338127.5</v>
      </c>
      <c r="F35">
        <v>199840460.55091399</v>
      </c>
    </row>
    <row r="36" spans="1:6" ht="15" customHeight="1" x14ac:dyDescent="0.25">
      <c r="A36" s="1" t="s">
        <v>13</v>
      </c>
      <c r="C36">
        <v>1236053387.3611109</v>
      </c>
      <c r="D36">
        <v>845200254.16666663</v>
      </c>
      <c r="E36">
        <v>2080706126.666667</v>
      </c>
      <c r="F36">
        <v>281378272.67317718</v>
      </c>
    </row>
    <row r="39" spans="1:6" ht="15" customHeight="1" x14ac:dyDescent="0.25">
      <c r="A39" s="4" t="s">
        <v>15</v>
      </c>
    </row>
    <row r="40" spans="1:6" x14ac:dyDescent="0.25">
      <c r="A40" t="s">
        <v>16</v>
      </c>
      <c r="B40">
        <v>1</v>
      </c>
      <c r="C40">
        <v>2</v>
      </c>
      <c r="D40">
        <v>3</v>
      </c>
    </row>
    <row r="41" spans="1:6" x14ac:dyDescent="0.25">
      <c r="A41" t="s">
        <v>6</v>
      </c>
      <c r="B41">
        <v>760645475.3550961</v>
      </c>
      <c r="C41">
        <v>838026431.0459584</v>
      </c>
      <c r="D41">
        <v>800932005.05038083</v>
      </c>
    </row>
    <row r="42" spans="1:6" x14ac:dyDescent="0.25">
      <c r="A42" t="s">
        <v>7</v>
      </c>
      <c r="B42">
        <v>817266219.08333337</v>
      </c>
      <c r="C42">
        <v>936768547.54166663</v>
      </c>
      <c r="D42">
        <v>1001791277.75</v>
      </c>
    </row>
    <row r="43" spans="1:6" ht="15" customHeight="1" x14ac:dyDescent="0.25">
      <c r="A43" s="1" t="s">
        <v>8</v>
      </c>
      <c r="B43">
        <v>824200412</v>
      </c>
      <c r="C43">
        <v>905701669.66666663</v>
      </c>
      <c r="D43">
        <v>1310159343</v>
      </c>
    </row>
    <row r="44" spans="1:6" x14ac:dyDescent="0.25">
      <c r="A44" t="s">
        <v>9</v>
      </c>
      <c r="B44">
        <v>965936643.95833337</v>
      </c>
      <c r="C44">
        <v>1132451404.958333</v>
      </c>
      <c r="D44">
        <v>1423571202.791667</v>
      </c>
    </row>
    <row r="45" spans="1:6" x14ac:dyDescent="0.25">
      <c r="A45" t="s">
        <v>10</v>
      </c>
      <c r="B45">
        <v>866197674.20833325</v>
      </c>
      <c r="C45">
        <v>1030689037.208333</v>
      </c>
      <c r="D45">
        <v>1255740957.625</v>
      </c>
    </row>
    <row r="46" spans="1:6" x14ac:dyDescent="0.25">
      <c r="A46" t="s">
        <v>11</v>
      </c>
      <c r="B46">
        <v>968629654.04166663</v>
      </c>
      <c r="C46">
        <v>1179749268.958333</v>
      </c>
      <c r="D46">
        <v>1435004016.25</v>
      </c>
    </row>
    <row r="47" spans="1:6" ht="15" customHeight="1" x14ac:dyDescent="0.25">
      <c r="A47" s="1" t="s">
        <v>12</v>
      </c>
      <c r="B47">
        <v>922751452.95833337</v>
      </c>
      <c r="C47">
        <v>1115508070.708333</v>
      </c>
      <c r="D47">
        <v>1386276856.583333</v>
      </c>
    </row>
    <row r="48" spans="1:6" x14ac:dyDescent="0.25">
      <c r="A48" t="s">
        <v>13</v>
      </c>
      <c r="B48">
        <v>982749169.33333337</v>
      </c>
      <c r="C48">
        <v>1320468953.416667</v>
      </c>
      <c r="D48">
        <v>1404942039.333333</v>
      </c>
    </row>
    <row r="51" spans="1:61" ht="15" customHeight="1" x14ac:dyDescent="0.25">
      <c r="A51" s="4" t="s">
        <v>17</v>
      </c>
    </row>
    <row r="52" spans="1:61" x14ac:dyDescent="0.25">
      <c r="A52" t="s">
        <v>16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x14ac:dyDescent="0.25">
      <c r="A53" t="s">
        <v>6</v>
      </c>
      <c r="B53">
        <v>744230790.46101856</v>
      </c>
      <c r="C53">
        <v>752195789.62379622</v>
      </c>
      <c r="D53">
        <v>758253465.40509248</v>
      </c>
      <c r="E53">
        <v>750924946.68009257</v>
      </c>
      <c r="F53">
        <v>761522557.01842594</v>
      </c>
      <c r="G53">
        <v>763581689.34435189</v>
      </c>
      <c r="H53">
        <v>807831203.05962968</v>
      </c>
      <c r="I53">
        <v>764346321.40305555</v>
      </c>
      <c r="J53">
        <v>760122900.43861103</v>
      </c>
      <c r="K53">
        <v>739110620.27879632</v>
      </c>
      <c r="L53">
        <v>753438821.11120379</v>
      </c>
      <c r="M53">
        <v>748499233.36435175</v>
      </c>
      <c r="N53">
        <v>745559183.24861109</v>
      </c>
      <c r="O53">
        <v>748370905.61605322</v>
      </c>
      <c r="P53">
        <v>752838130.76138878</v>
      </c>
      <c r="Q53">
        <v>801212309.57814825</v>
      </c>
      <c r="R53">
        <v>752042893.42777789</v>
      </c>
      <c r="S53">
        <v>757459267.45509267</v>
      </c>
      <c r="T53">
        <v>753202359.74435186</v>
      </c>
      <c r="U53">
        <v>798166119.08207178</v>
      </c>
      <c r="V53">
        <v>860787470.8476851</v>
      </c>
      <c r="W53">
        <v>825831397.17835653</v>
      </c>
      <c r="X53">
        <v>890307827.1116668</v>
      </c>
      <c r="Y53">
        <v>832721043.49342608</v>
      </c>
      <c r="Z53">
        <v>873410043.65203714</v>
      </c>
      <c r="AA53">
        <v>842221338.24916673</v>
      </c>
      <c r="AB53">
        <v>903777574.37370384</v>
      </c>
      <c r="AC53">
        <v>864469412.26796317</v>
      </c>
      <c r="AD53">
        <v>804550121.16846073</v>
      </c>
      <c r="AE53">
        <v>830193147.75342596</v>
      </c>
      <c r="AF53">
        <v>832074794.37612283</v>
      </c>
      <c r="AG53">
        <v>856241925.46175957</v>
      </c>
      <c r="AH53">
        <v>817854678.64324069</v>
      </c>
      <c r="AI53">
        <v>834542592.1761111</v>
      </c>
      <c r="AJ53">
        <v>799893457.46133101</v>
      </c>
      <c r="AK53">
        <v>873221036.24555552</v>
      </c>
      <c r="AL53">
        <v>816226664.92342591</v>
      </c>
      <c r="AM53">
        <v>818904426.79363418</v>
      </c>
      <c r="AN53">
        <v>782625585.57207191</v>
      </c>
      <c r="AO53">
        <v>800674083.17002332</v>
      </c>
      <c r="AP53">
        <v>795331242.48009264</v>
      </c>
      <c r="AQ53">
        <v>839362830.28082168</v>
      </c>
      <c r="AR53">
        <v>762911514.83796299</v>
      </c>
      <c r="AS53">
        <v>773982850.02787042</v>
      </c>
      <c r="AT53">
        <v>799378486.60806727</v>
      </c>
      <c r="AU53">
        <v>772801637.82796299</v>
      </c>
      <c r="AV53">
        <v>800137408.51546299</v>
      </c>
      <c r="AW53">
        <v>823989891.16846061</v>
      </c>
      <c r="AX53">
        <v>775324263.9988426</v>
      </c>
      <c r="AY53">
        <v>797965202.02416682</v>
      </c>
      <c r="AZ53">
        <v>808488085.94620371</v>
      </c>
      <c r="BA53">
        <v>793179117.88056719</v>
      </c>
      <c r="BB53">
        <v>806732948.38166654</v>
      </c>
      <c r="BC53">
        <v>770796523.14435172</v>
      </c>
      <c r="BD53">
        <v>773151375.46824074</v>
      </c>
      <c r="BE53">
        <v>796011238.9337039</v>
      </c>
      <c r="BF53">
        <v>772866156.17620373</v>
      </c>
      <c r="BG53">
        <v>955474431.8552779</v>
      </c>
      <c r="BH53">
        <v>815660703.39657402</v>
      </c>
      <c r="BI53">
        <v>785094192.05511594</v>
      </c>
    </row>
    <row r="54" spans="1:61" x14ac:dyDescent="0.25">
      <c r="A54" t="s">
        <v>7</v>
      </c>
      <c r="B54">
        <v>874613293.33333337</v>
      </c>
      <c r="C54">
        <v>798869339.16666663</v>
      </c>
      <c r="D54">
        <v>806697322.5</v>
      </c>
      <c r="E54">
        <v>867875161.66666663</v>
      </c>
      <c r="F54">
        <v>830878940.83333337</v>
      </c>
      <c r="G54">
        <v>870115452.5</v>
      </c>
      <c r="H54">
        <v>815098888.33333337</v>
      </c>
      <c r="I54">
        <v>812625980</v>
      </c>
      <c r="J54">
        <v>806890149.16666663</v>
      </c>
      <c r="K54">
        <v>808036922.5</v>
      </c>
      <c r="L54">
        <v>810006016.66666663</v>
      </c>
      <c r="M54">
        <v>802572758.33333337</v>
      </c>
      <c r="N54">
        <v>808780589.16666663</v>
      </c>
      <c r="O54">
        <v>812391793.33333325</v>
      </c>
      <c r="P54">
        <v>800876439.16666663</v>
      </c>
      <c r="Q54">
        <v>810843755.83333325</v>
      </c>
      <c r="R54">
        <v>812919533.33333337</v>
      </c>
      <c r="S54">
        <v>787647713.33333337</v>
      </c>
      <c r="T54">
        <v>799032171.66666663</v>
      </c>
      <c r="U54">
        <v>808552160.83333337</v>
      </c>
      <c r="V54">
        <v>935856204.16666675</v>
      </c>
      <c r="W54">
        <v>907894165.83333337</v>
      </c>
      <c r="X54">
        <v>950420790.83333337</v>
      </c>
      <c r="Y54">
        <v>952103391.66666663</v>
      </c>
      <c r="Z54">
        <v>896304534.16666663</v>
      </c>
      <c r="AA54">
        <v>949820935</v>
      </c>
      <c r="AB54">
        <v>965282020</v>
      </c>
      <c r="AC54">
        <v>921635323.33333325</v>
      </c>
      <c r="AD54">
        <v>848903912.5</v>
      </c>
      <c r="AE54">
        <v>992349746.66666675</v>
      </c>
      <c r="AF54">
        <v>944357658.33333337</v>
      </c>
      <c r="AG54">
        <v>924139611.66666663</v>
      </c>
      <c r="AH54">
        <v>961414674.16666663</v>
      </c>
      <c r="AI54">
        <v>934730976.66666675</v>
      </c>
      <c r="AJ54">
        <v>971565134.16666663</v>
      </c>
      <c r="AK54">
        <v>897052249.16666663</v>
      </c>
      <c r="AL54">
        <v>945894932.5</v>
      </c>
      <c r="AM54">
        <v>944180666.66666675</v>
      </c>
      <c r="AN54">
        <v>987379860</v>
      </c>
      <c r="AO54">
        <v>904084163.33333325</v>
      </c>
      <c r="AP54">
        <v>1058236611.666667</v>
      </c>
      <c r="AQ54">
        <v>975636844.16666675</v>
      </c>
      <c r="AR54">
        <v>970723768.33333337</v>
      </c>
      <c r="AS54">
        <v>1018941714.166667</v>
      </c>
      <c r="AT54">
        <v>1003337490.833333</v>
      </c>
      <c r="AU54">
        <v>938551341.66666663</v>
      </c>
      <c r="AV54">
        <v>1034634798.333333</v>
      </c>
      <c r="AW54">
        <v>954138153.33333325</v>
      </c>
      <c r="AX54">
        <v>993297888.33333325</v>
      </c>
      <c r="AY54">
        <v>973248974.16666663</v>
      </c>
      <c r="AZ54">
        <v>946923535.83333337</v>
      </c>
      <c r="BA54">
        <v>1005380159.166667</v>
      </c>
      <c r="BB54">
        <v>1056195462.5</v>
      </c>
      <c r="BC54">
        <v>1122665410</v>
      </c>
      <c r="BD54">
        <v>1143236739.166667</v>
      </c>
      <c r="BE54">
        <v>1004678995</v>
      </c>
      <c r="BF54">
        <v>1050708660</v>
      </c>
      <c r="BG54">
        <v>917582779.16666663</v>
      </c>
      <c r="BH54">
        <v>944436930</v>
      </c>
      <c r="BI54">
        <v>923269299.16666675</v>
      </c>
    </row>
    <row r="55" spans="1:61" x14ac:dyDescent="0.25">
      <c r="A55" t="s">
        <v>8</v>
      </c>
      <c r="B55">
        <v>824201980</v>
      </c>
      <c r="C55">
        <v>824207740</v>
      </c>
      <c r="D55">
        <v>824190460</v>
      </c>
      <c r="E55">
        <v>824210300</v>
      </c>
      <c r="F55">
        <v>824221820</v>
      </c>
      <c r="G55">
        <v>824200060</v>
      </c>
      <c r="H55">
        <v>824205180</v>
      </c>
      <c r="I55">
        <v>824195580</v>
      </c>
      <c r="J55">
        <v>824188540</v>
      </c>
      <c r="K55">
        <v>824201340</v>
      </c>
      <c r="L55">
        <v>824216060</v>
      </c>
      <c r="M55">
        <v>824196220</v>
      </c>
      <c r="N55">
        <v>824205180</v>
      </c>
      <c r="O55">
        <v>824196220</v>
      </c>
      <c r="P55">
        <v>824200700</v>
      </c>
      <c r="Q55">
        <v>824214780</v>
      </c>
      <c r="R55">
        <v>824182780</v>
      </c>
      <c r="S55">
        <v>824187900</v>
      </c>
      <c r="T55">
        <v>824194300</v>
      </c>
      <c r="U55">
        <v>824191100</v>
      </c>
      <c r="V55">
        <v>905703621.66666663</v>
      </c>
      <c r="W55">
        <v>905701701.66666663</v>
      </c>
      <c r="X55">
        <v>905687621.66666663</v>
      </c>
      <c r="Y55">
        <v>905704901.66666663</v>
      </c>
      <c r="Z55">
        <v>905699141.66666663</v>
      </c>
      <c r="AA55">
        <v>905703621.66666663</v>
      </c>
      <c r="AB55">
        <v>905704261.66666663</v>
      </c>
      <c r="AC55">
        <v>905706821.66666663</v>
      </c>
      <c r="AD55">
        <v>905701701.66666663</v>
      </c>
      <c r="AE55">
        <v>905689541.66666663</v>
      </c>
      <c r="AF55">
        <v>905713221.66666663</v>
      </c>
      <c r="AG55">
        <v>905717061.66666663</v>
      </c>
      <c r="AH55">
        <v>905704261.66666663</v>
      </c>
      <c r="AI55">
        <v>905684421.66666663</v>
      </c>
      <c r="AJ55">
        <v>905701701.66666663</v>
      </c>
      <c r="AK55">
        <v>905688261.66666663</v>
      </c>
      <c r="AL55">
        <v>905696581.66666663</v>
      </c>
      <c r="AM55">
        <v>905700421.66666663</v>
      </c>
      <c r="AN55">
        <v>905720901.66666663</v>
      </c>
      <c r="AO55">
        <v>905703621.66666663</v>
      </c>
      <c r="AP55">
        <v>1310153135</v>
      </c>
      <c r="AQ55">
        <v>1310164015</v>
      </c>
      <c r="AR55">
        <v>1310175535</v>
      </c>
      <c r="AS55">
        <v>1310153135</v>
      </c>
      <c r="AT55">
        <v>1310165295</v>
      </c>
      <c r="AU55">
        <v>1310172335</v>
      </c>
      <c r="AV55">
        <v>1310162735</v>
      </c>
      <c r="AW55">
        <v>1310160815</v>
      </c>
      <c r="AX55">
        <v>1310164655</v>
      </c>
      <c r="AY55">
        <v>1310161455</v>
      </c>
      <c r="AZ55">
        <v>1310160175</v>
      </c>
      <c r="BA55">
        <v>1310153135</v>
      </c>
      <c r="BB55">
        <v>1310149295</v>
      </c>
      <c r="BC55">
        <v>1310148655</v>
      </c>
      <c r="BD55">
        <v>1310150575</v>
      </c>
      <c r="BE55">
        <v>1310139055</v>
      </c>
      <c r="BF55">
        <v>1310145455</v>
      </c>
      <c r="BG55">
        <v>1310165935</v>
      </c>
      <c r="BH55">
        <v>1310160175</v>
      </c>
      <c r="BI55">
        <v>1310181295</v>
      </c>
    </row>
    <row r="56" spans="1:61" x14ac:dyDescent="0.25">
      <c r="A56" t="s">
        <v>9</v>
      </c>
      <c r="B56">
        <v>952345003.33333337</v>
      </c>
      <c r="C56">
        <v>911724159.16666663</v>
      </c>
      <c r="D56">
        <v>930538700.83333325</v>
      </c>
      <c r="E56">
        <v>845827219.16666663</v>
      </c>
      <c r="F56">
        <v>1512984273.333333</v>
      </c>
      <c r="G56">
        <v>916836009.16666663</v>
      </c>
      <c r="H56">
        <v>868799326.66666663</v>
      </c>
      <c r="I56">
        <v>857483546.66666663</v>
      </c>
      <c r="J56">
        <v>831651599.16666663</v>
      </c>
      <c r="K56">
        <v>955872547.5</v>
      </c>
      <c r="L56">
        <v>807011755</v>
      </c>
      <c r="M56">
        <v>1127624474.166667</v>
      </c>
      <c r="N56">
        <v>865815220</v>
      </c>
      <c r="O56">
        <v>845644006.66666663</v>
      </c>
      <c r="P56">
        <v>1052506588.333333</v>
      </c>
      <c r="Q56">
        <v>838667386.66666675</v>
      </c>
      <c r="R56">
        <v>787090263.33333325</v>
      </c>
      <c r="S56">
        <v>1425136380</v>
      </c>
      <c r="T56">
        <v>1024604320</v>
      </c>
      <c r="U56">
        <v>960570100</v>
      </c>
      <c r="V56">
        <v>1142977747.5</v>
      </c>
      <c r="W56">
        <v>1104521953.333333</v>
      </c>
      <c r="X56">
        <v>952071184.16666675</v>
      </c>
      <c r="Y56">
        <v>1147258655</v>
      </c>
      <c r="Z56">
        <v>1139144685</v>
      </c>
      <c r="AA56">
        <v>1201093081.666667</v>
      </c>
      <c r="AB56">
        <v>1181665294.166667</v>
      </c>
      <c r="AC56">
        <v>1274478817.5</v>
      </c>
      <c r="AD56">
        <v>1136076246.666667</v>
      </c>
      <c r="AE56">
        <v>1003007449.166667</v>
      </c>
      <c r="AF56">
        <v>1334584222.5</v>
      </c>
      <c r="AG56">
        <v>969695169.16666663</v>
      </c>
      <c r="AH56">
        <v>1150822415.833333</v>
      </c>
      <c r="AI56">
        <v>1052752035</v>
      </c>
      <c r="AJ56">
        <v>1125445060</v>
      </c>
      <c r="AK56">
        <v>948127789.16666663</v>
      </c>
      <c r="AL56">
        <v>1118902027.5</v>
      </c>
      <c r="AM56">
        <v>1249642595</v>
      </c>
      <c r="AN56">
        <v>1338272415</v>
      </c>
      <c r="AO56">
        <v>1078489255.833333</v>
      </c>
      <c r="AP56">
        <v>1169450378.333333</v>
      </c>
      <c r="AQ56">
        <v>1707037890.833333</v>
      </c>
      <c r="AR56">
        <v>1098672815.833333</v>
      </c>
      <c r="AS56">
        <v>1765939985</v>
      </c>
      <c r="AT56">
        <v>1206300515</v>
      </c>
      <c r="AU56">
        <v>1442777020</v>
      </c>
      <c r="AV56">
        <v>1873552304.166667</v>
      </c>
      <c r="AW56">
        <v>1371182863.333333</v>
      </c>
      <c r="AX56">
        <v>1388637575.833333</v>
      </c>
      <c r="AY56">
        <v>1261346769.166667</v>
      </c>
      <c r="AZ56">
        <v>964001027.5</v>
      </c>
      <c r="BA56">
        <v>1624293125.833333</v>
      </c>
      <c r="BB56">
        <v>1407852025.833333</v>
      </c>
      <c r="BC56">
        <v>1224395161.666667</v>
      </c>
      <c r="BD56">
        <v>1399889448.333333</v>
      </c>
      <c r="BE56">
        <v>2073714486.666667</v>
      </c>
      <c r="BF56">
        <v>1572562790</v>
      </c>
      <c r="BG56">
        <v>1340045247.5</v>
      </c>
      <c r="BH56">
        <v>1262837059.166667</v>
      </c>
      <c r="BI56">
        <v>1316935565.833333</v>
      </c>
    </row>
    <row r="57" spans="1:61" x14ac:dyDescent="0.25">
      <c r="A57" t="s">
        <v>10</v>
      </c>
      <c r="B57">
        <v>861671232.5</v>
      </c>
      <c r="C57">
        <v>864085120</v>
      </c>
      <c r="D57">
        <v>866292533.33333337</v>
      </c>
      <c r="E57">
        <v>856331073.33333325</v>
      </c>
      <c r="F57">
        <v>860085639.16666663</v>
      </c>
      <c r="G57">
        <v>867958993.33333325</v>
      </c>
      <c r="H57">
        <v>868377086.66666663</v>
      </c>
      <c r="I57">
        <v>872645840</v>
      </c>
      <c r="J57">
        <v>869497313.33333325</v>
      </c>
      <c r="K57">
        <v>869345453.33333325</v>
      </c>
      <c r="L57">
        <v>871131200</v>
      </c>
      <c r="M57">
        <v>867560125.83333325</v>
      </c>
      <c r="N57">
        <v>859171653.33333337</v>
      </c>
      <c r="O57">
        <v>862535485.83333325</v>
      </c>
      <c r="P57">
        <v>871974052.5</v>
      </c>
      <c r="Q57">
        <v>864384640</v>
      </c>
      <c r="R57">
        <v>859311201.66666663</v>
      </c>
      <c r="S57">
        <v>861540193.33333337</v>
      </c>
      <c r="T57">
        <v>869806173.33333325</v>
      </c>
      <c r="U57">
        <v>880248473.33333337</v>
      </c>
      <c r="V57">
        <v>1035140469.166667</v>
      </c>
      <c r="W57">
        <v>1022968006.666667</v>
      </c>
      <c r="X57">
        <v>1017654229.166667</v>
      </c>
      <c r="Y57">
        <v>1026686613.333333</v>
      </c>
      <c r="Z57">
        <v>1009669625</v>
      </c>
      <c r="AA57">
        <v>1009354265.833333</v>
      </c>
      <c r="AB57">
        <v>1030386677.5</v>
      </c>
      <c r="AC57">
        <v>1027008425.833333</v>
      </c>
      <c r="AD57">
        <v>1005219251.666667</v>
      </c>
      <c r="AE57">
        <v>1029853300</v>
      </c>
      <c r="AF57">
        <v>1034495540</v>
      </c>
      <c r="AG57">
        <v>1061833586.666667</v>
      </c>
      <c r="AH57">
        <v>1048619951.666667</v>
      </c>
      <c r="AI57">
        <v>1015309206.666667</v>
      </c>
      <c r="AJ57">
        <v>1073097734.166667</v>
      </c>
      <c r="AK57">
        <v>1015907502.5</v>
      </c>
      <c r="AL57">
        <v>1053949186.666667</v>
      </c>
      <c r="AM57">
        <v>1063871040</v>
      </c>
      <c r="AN57">
        <v>1009390775</v>
      </c>
      <c r="AO57">
        <v>1023365356.666667</v>
      </c>
      <c r="AP57">
        <v>1257927465.833333</v>
      </c>
      <c r="AQ57">
        <v>1232789949.166667</v>
      </c>
      <c r="AR57">
        <v>1258414839.166667</v>
      </c>
      <c r="AS57">
        <v>1235349066.666667</v>
      </c>
      <c r="AT57">
        <v>1254611375.833333</v>
      </c>
      <c r="AU57">
        <v>1256081418.333333</v>
      </c>
      <c r="AV57">
        <v>1251662468.333333</v>
      </c>
      <c r="AW57">
        <v>1234199245</v>
      </c>
      <c r="AX57">
        <v>1277868126.666667</v>
      </c>
      <c r="AY57">
        <v>1243659937.5</v>
      </c>
      <c r="AZ57">
        <v>1232561535.833333</v>
      </c>
      <c r="BA57">
        <v>1256480675.833333</v>
      </c>
      <c r="BB57">
        <v>1283638055.833333</v>
      </c>
      <c r="BC57">
        <v>1226432798.333333</v>
      </c>
      <c r="BD57">
        <v>1289296972.5</v>
      </c>
      <c r="BE57">
        <v>1273707759.166667</v>
      </c>
      <c r="BF57">
        <v>1221267176.666667</v>
      </c>
      <c r="BG57">
        <v>1256734574.166667</v>
      </c>
      <c r="BH57">
        <v>1296689985.833333</v>
      </c>
      <c r="BI57">
        <v>1275445725.833333</v>
      </c>
    </row>
    <row r="58" spans="1:61" x14ac:dyDescent="0.25">
      <c r="A58" t="s">
        <v>11</v>
      </c>
      <c r="B58">
        <v>854790234.16666663</v>
      </c>
      <c r="C58">
        <v>911783700</v>
      </c>
      <c r="D58">
        <v>888773859.16666663</v>
      </c>
      <c r="E58">
        <v>965481482.5</v>
      </c>
      <c r="F58">
        <v>842683740.83333337</v>
      </c>
      <c r="G58">
        <v>895365226.66666663</v>
      </c>
      <c r="H58">
        <v>1021816586.666667</v>
      </c>
      <c r="I58">
        <v>805478011.66666663</v>
      </c>
      <c r="J58">
        <v>947430152.5</v>
      </c>
      <c r="K58">
        <v>1000993660</v>
      </c>
      <c r="L58">
        <v>1121792726.666667</v>
      </c>
      <c r="M58">
        <v>1125385773.333333</v>
      </c>
      <c r="N58">
        <v>980232033.33333337</v>
      </c>
      <c r="O58">
        <v>907084600</v>
      </c>
      <c r="P58">
        <v>1162348500</v>
      </c>
      <c r="Q58">
        <v>913786411.66666675</v>
      </c>
      <c r="R58">
        <v>1132979874.166667</v>
      </c>
      <c r="S58">
        <v>1053158198.333333</v>
      </c>
      <c r="T58">
        <v>899294525.83333337</v>
      </c>
      <c r="U58">
        <v>941933783.33333337</v>
      </c>
      <c r="V58">
        <v>1262177960</v>
      </c>
      <c r="W58">
        <v>1109333613.333333</v>
      </c>
      <c r="X58">
        <v>1489380524.166667</v>
      </c>
      <c r="Y58">
        <v>1003925902.5</v>
      </c>
      <c r="Z58">
        <v>1336482420</v>
      </c>
      <c r="AA58">
        <v>1311814720</v>
      </c>
      <c r="AB58">
        <v>1132235361.666667</v>
      </c>
      <c r="AC58">
        <v>1171656881.666667</v>
      </c>
      <c r="AD58">
        <v>1008553682.5</v>
      </c>
      <c r="AE58">
        <v>1038994488.333333</v>
      </c>
      <c r="AF58">
        <v>1240440961.666667</v>
      </c>
      <c r="AG58">
        <v>1027206687.5</v>
      </c>
      <c r="AH58">
        <v>1421709223.333333</v>
      </c>
      <c r="AI58">
        <v>1479122628.333333</v>
      </c>
      <c r="AJ58">
        <v>1235418056.666667</v>
      </c>
      <c r="AK58">
        <v>1128434709.166667</v>
      </c>
      <c r="AL58">
        <v>970984179.16666663</v>
      </c>
      <c r="AM58">
        <v>999979642.5</v>
      </c>
      <c r="AN58">
        <v>1088966826.666667</v>
      </c>
      <c r="AO58">
        <v>1138166910</v>
      </c>
      <c r="AP58">
        <v>1628470218.333333</v>
      </c>
      <c r="AQ58">
        <v>1812244670.833333</v>
      </c>
      <c r="AR58">
        <v>1411550976.666667</v>
      </c>
      <c r="AS58">
        <v>1368176940.833333</v>
      </c>
      <c r="AT58">
        <v>1555701846.666667</v>
      </c>
      <c r="AU58">
        <v>1417385329.166667</v>
      </c>
      <c r="AV58">
        <v>1292380220</v>
      </c>
      <c r="AW58">
        <v>1145213281.666667</v>
      </c>
      <c r="AX58">
        <v>1874567094.166667</v>
      </c>
      <c r="AY58">
        <v>1250833600</v>
      </c>
      <c r="AZ58">
        <v>1233998525</v>
      </c>
      <c r="BA58">
        <v>1526182820</v>
      </c>
      <c r="BB58">
        <v>1536148629.166667</v>
      </c>
      <c r="BC58">
        <v>1870552720.833333</v>
      </c>
      <c r="BD58">
        <v>1210024409.166667</v>
      </c>
      <c r="BE58">
        <v>1130637951.666667</v>
      </c>
      <c r="BF58">
        <v>1171583363.333333</v>
      </c>
      <c r="BG58">
        <v>1402909364.166667</v>
      </c>
      <c r="BH58">
        <v>1400974116.666667</v>
      </c>
      <c r="BI58">
        <v>1460544246.666667</v>
      </c>
    </row>
    <row r="59" spans="1:61" ht="15" customHeight="1" x14ac:dyDescent="0.25">
      <c r="A59" s="1" t="s">
        <v>12</v>
      </c>
      <c r="B59">
        <v>893475425</v>
      </c>
      <c r="C59">
        <v>920165354.16666663</v>
      </c>
      <c r="D59">
        <v>910315340</v>
      </c>
      <c r="E59">
        <v>881257161.66666663</v>
      </c>
      <c r="F59">
        <v>913334300</v>
      </c>
      <c r="G59">
        <v>867587793.33333325</v>
      </c>
      <c r="H59">
        <v>920854746.66666663</v>
      </c>
      <c r="I59">
        <v>862721123.33333337</v>
      </c>
      <c r="J59">
        <v>924808380.83333337</v>
      </c>
      <c r="K59">
        <v>905554476.66666675</v>
      </c>
      <c r="L59">
        <v>1114119233.333333</v>
      </c>
      <c r="M59">
        <v>908626924.16666663</v>
      </c>
      <c r="N59">
        <v>1046863300</v>
      </c>
      <c r="O59">
        <v>868027747.5</v>
      </c>
      <c r="P59">
        <v>914108310</v>
      </c>
      <c r="Q59">
        <v>912713486.66666663</v>
      </c>
      <c r="R59">
        <v>991402460.83333337</v>
      </c>
      <c r="S59">
        <v>924378013.33333337</v>
      </c>
      <c r="T59">
        <v>873036333.33333337</v>
      </c>
      <c r="U59">
        <v>901679148.33333337</v>
      </c>
      <c r="V59">
        <v>1091725835</v>
      </c>
      <c r="W59">
        <v>1033911808.333333</v>
      </c>
      <c r="X59">
        <v>1179164243.333333</v>
      </c>
      <c r="Y59">
        <v>1125100195</v>
      </c>
      <c r="Z59">
        <v>1105759733.333333</v>
      </c>
      <c r="AA59">
        <v>1048356015.833333</v>
      </c>
      <c r="AB59">
        <v>1149319572.5</v>
      </c>
      <c r="AC59">
        <v>1160969357.5</v>
      </c>
      <c r="AD59">
        <v>1159069701.666667</v>
      </c>
      <c r="AE59">
        <v>1051411661.666667</v>
      </c>
      <c r="AF59">
        <v>1069855391.666667</v>
      </c>
      <c r="AG59">
        <v>1174996227.5</v>
      </c>
      <c r="AH59">
        <v>1171039350.833333</v>
      </c>
      <c r="AI59">
        <v>1030193243.333333</v>
      </c>
      <c r="AJ59">
        <v>1073360081.666667</v>
      </c>
      <c r="AK59">
        <v>1048933022.5</v>
      </c>
      <c r="AL59">
        <v>1057823741.666667</v>
      </c>
      <c r="AM59">
        <v>1211000736.666667</v>
      </c>
      <c r="AN59">
        <v>1262461612.5</v>
      </c>
      <c r="AO59">
        <v>1105709881.666667</v>
      </c>
      <c r="AP59">
        <v>1408548407.5</v>
      </c>
      <c r="AQ59">
        <v>1496927840.833333</v>
      </c>
      <c r="AR59">
        <v>1333030800</v>
      </c>
      <c r="AS59">
        <v>1316247035</v>
      </c>
      <c r="AT59">
        <v>1364211186.666667</v>
      </c>
      <c r="AU59">
        <v>1358065586.666667</v>
      </c>
      <c r="AV59">
        <v>1374574910</v>
      </c>
      <c r="AW59">
        <v>1362813030</v>
      </c>
      <c r="AX59">
        <v>1433466363.333333</v>
      </c>
      <c r="AY59">
        <v>1299872046.666667</v>
      </c>
      <c r="AZ59">
        <v>1491629965.833333</v>
      </c>
      <c r="BA59">
        <v>1380101294.166667</v>
      </c>
      <c r="BB59">
        <v>1443904440</v>
      </c>
      <c r="BC59">
        <v>1390415112.5</v>
      </c>
      <c r="BD59">
        <v>1353767499.166667</v>
      </c>
      <c r="BE59">
        <v>1332008210.833333</v>
      </c>
      <c r="BF59">
        <v>1499338127.5</v>
      </c>
      <c r="BG59">
        <v>1431717575.833333</v>
      </c>
      <c r="BH59">
        <v>1344979660</v>
      </c>
      <c r="BI59">
        <v>1309918039.166667</v>
      </c>
    </row>
    <row r="60" spans="1:61" x14ac:dyDescent="0.25">
      <c r="A60" t="s">
        <v>13</v>
      </c>
      <c r="B60">
        <v>902866493.33333337</v>
      </c>
      <c r="C60">
        <v>1007993467.5</v>
      </c>
      <c r="D60">
        <v>899898458.33333337</v>
      </c>
      <c r="E60">
        <v>1130910873.333333</v>
      </c>
      <c r="F60">
        <v>910537133.33333337</v>
      </c>
      <c r="G60">
        <v>921745550.83333337</v>
      </c>
      <c r="H60">
        <v>1509693526.666667</v>
      </c>
      <c r="I60">
        <v>1126122266.666667</v>
      </c>
      <c r="J60">
        <v>923727164.16666663</v>
      </c>
      <c r="K60">
        <v>847731006.66666663</v>
      </c>
      <c r="L60">
        <v>850285413.33333337</v>
      </c>
      <c r="M60">
        <v>920256446.66666663</v>
      </c>
      <c r="N60">
        <v>1252786520</v>
      </c>
      <c r="O60">
        <v>976901691.66666663</v>
      </c>
      <c r="P60">
        <v>860838830</v>
      </c>
      <c r="Q60">
        <v>1077224253.333333</v>
      </c>
      <c r="R60">
        <v>949261633.33333337</v>
      </c>
      <c r="S60">
        <v>845200254.16666663</v>
      </c>
      <c r="T60">
        <v>854249230</v>
      </c>
      <c r="U60">
        <v>886753173.33333337</v>
      </c>
      <c r="V60">
        <v>1376549587.5</v>
      </c>
      <c r="W60">
        <v>1044774365.833333</v>
      </c>
      <c r="X60">
        <v>1474464062.5</v>
      </c>
      <c r="Y60">
        <v>1004200713.333333</v>
      </c>
      <c r="Z60">
        <v>1137738208.333333</v>
      </c>
      <c r="AA60">
        <v>1212664090</v>
      </c>
      <c r="AB60">
        <v>939625052.5</v>
      </c>
      <c r="AC60">
        <v>1440763393.333333</v>
      </c>
      <c r="AD60">
        <v>1521422485.833333</v>
      </c>
      <c r="AE60">
        <v>1487387884.166667</v>
      </c>
      <c r="AF60">
        <v>2080706126.666667</v>
      </c>
      <c r="AG60">
        <v>981879773.33333337</v>
      </c>
      <c r="AH60">
        <v>1424955940.833333</v>
      </c>
      <c r="AI60">
        <v>1174253080</v>
      </c>
      <c r="AJ60">
        <v>1017250021.666667</v>
      </c>
      <c r="AK60">
        <v>1455364855.833333</v>
      </c>
      <c r="AL60">
        <v>1684417807.5</v>
      </c>
      <c r="AM60">
        <v>1614565386.666667</v>
      </c>
      <c r="AN60">
        <v>1155360642.5</v>
      </c>
      <c r="AO60">
        <v>1181035590</v>
      </c>
      <c r="AP60">
        <v>1381031461.666667</v>
      </c>
      <c r="AQ60">
        <v>1747417314.166667</v>
      </c>
      <c r="AR60">
        <v>1381202647.5</v>
      </c>
      <c r="AS60">
        <v>1230108730</v>
      </c>
      <c r="AT60">
        <v>1342686505</v>
      </c>
      <c r="AU60">
        <v>1655532306.666667</v>
      </c>
      <c r="AV60">
        <v>1487947466.666667</v>
      </c>
      <c r="AW60">
        <v>1360684686.666667</v>
      </c>
      <c r="AX60">
        <v>1519387567.5</v>
      </c>
      <c r="AY60">
        <v>1411750728.333333</v>
      </c>
      <c r="AZ60">
        <v>1483437567.5</v>
      </c>
      <c r="BA60">
        <v>1226029960.833333</v>
      </c>
      <c r="BB60">
        <v>1269076370.833333</v>
      </c>
      <c r="BC60">
        <v>1709628535</v>
      </c>
      <c r="BD60">
        <v>1369078005.833333</v>
      </c>
      <c r="BE60">
        <v>1423649917.5</v>
      </c>
      <c r="BF60">
        <v>1106617087.5</v>
      </c>
      <c r="BG60">
        <v>1010839888.333333</v>
      </c>
      <c r="BH60">
        <v>1467492911.666667</v>
      </c>
      <c r="BI60">
        <v>1515241127.5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I60"/>
  <sheetViews>
    <sheetView topLeftCell="A5" zoomScaleNormal="100" workbookViewId="0">
      <selection activeCell="C14" sqref="C14"/>
    </sheetView>
  </sheetViews>
  <sheetFormatPr defaultColWidth="8.5703125" defaultRowHeight="15" x14ac:dyDescent="0.25"/>
  <cols>
    <col min="1" max="1" width="24" customWidth="1"/>
    <col min="2" max="2" width="12" customWidth="1"/>
    <col min="3" max="3" width="20" customWidth="1"/>
    <col min="4" max="4" width="12" customWidth="1"/>
    <col min="5" max="5" width="9" customWidth="1"/>
    <col min="6" max="6" width="20" customWidth="1"/>
    <col min="7" max="61" width="9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1</v>
      </c>
      <c r="C2">
        <v>1133674.5</v>
      </c>
      <c r="D2">
        <v>1115598</v>
      </c>
      <c r="E2">
        <v>1209369</v>
      </c>
      <c r="F2">
        <v>31629.058244753349</v>
      </c>
    </row>
    <row r="3" spans="1:6" x14ac:dyDescent="0.25">
      <c r="A3" t="s">
        <v>6</v>
      </c>
      <c r="B3">
        <v>2</v>
      </c>
      <c r="C3">
        <v>1275412.05</v>
      </c>
      <c r="D3">
        <v>1179867</v>
      </c>
      <c r="E3">
        <v>1414012</v>
      </c>
      <c r="F3">
        <v>72915.483759949784</v>
      </c>
    </row>
    <row r="4" spans="1:6" x14ac:dyDescent="0.25">
      <c r="A4" t="s">
        <v>6</v>
      </c>
      <c r="B4">
        <v>3</v>
      </c>
      <c r="C4">
        <v>1281938.45</v>
      </c>
      <c r="D4">
        <v>1205279</v>
      </c>
      <c r="E4">
        <v>1552125</v>
      </c>
      <c r="F4">
        <v>81355.438706625515</v>
      </c>
    </row>
    <row r="5" spans="1:6" x14ac:dyDescent="0.25">
      <c r="A5" t="s">
        <v>7</v>
      </c>
      <c r="B5">
        <v>1</v>
      </c>
      <c r="C5">
        <v>1134788.95</v>
      </c>
      <c r="D5">
        <v>1112799</v>
      </c>
      <c r="E5">
        <v>1223020</v>
      </c>
      <c r="F5">
        <v>37782.266326247547</v>
      </c>
    </row>
    <row r="6" spans="1:6" x14ac:dyDescent="0.25">
      <c r="A6" t="s">
        <v>7</v>
      </c>
      <c r="B6">
        <v>2</v>
      </c>
      <c r="C6">
        <v>1259039.2</v>
      </c>
      <c r="D6">
        <v>1176958</v>
      </c>
      <c r="E6">
        <v>1335739</v>
      </c>
      <c r="F6">
        <v>49836.230084748582</v>
      </c>
    </row>
    <row r="7" spans="1:6" x14ac:dyDescent="0.25">
      <c r="A7" t="s">
        <v>7</v>
      </c>
      <c r="B7">
        <v>3</v>
      </c>
      <c r="C7">
        <v>1290864.8999999999</v>
      </c>
      <c r="D7">
        <v>1156688</v>
      </c>
      <c r="E7">
        <v>1471679</v>
      </c>
      <c r="F7">
        <v>88779.139509740678</v>
      </c>
    </row>
    <row r="8" spans="1:6" x14ac:dyDescent="0.25">
      <c r="A8" t="s">
        <v>8</v>
      </c>
      <c r="B8">
        <v>1</v>
      </c>
      <c r="C8">
        <v>1118706.55</v>
      </c>
      <c r="D8">
        <v>1118679</v>
      </c>
      <c r="E8">
        <v>1118740</v>
      </c>
      <c r="F8">
        <v>15.62521999845122</v>
      </c>
    </row>
    <row r="9" spans="1:6" x14ac:dyDescent="0.25">
      <c r="A9" t="s">
        <v>8</v>
      </c>
      <c r="B9">
        <v>2</v>
      </c>
      <c r="C9">
        <v>1175850.95</v>
      </c>
      <c r="D9">
        <v>1175824</v>
      </c>
      <c r="E9">
        <v>1175881</v>
      </c>
      <c r="F9">
        <v>14.22489015774814</v>
      </c>
    </row>
    <row r="10" spans="1:6" x14ac:dyDescent="0.25">
      <c r="A10" t="s">
        <v>8</v>
      </c>
      <c r="B10">
        <v>3</v>
      </c>
      <c r="C10">
        <v>1662054.7</v>
      </c>
      <c r="D10">
        <v>1662023</v>
      </c>
      <c r="E10">
        <v>1662089</v>
      </c>
      <c r="F10">
        <v>15.909431165192551</v>
      </c>
    </row>
    <row r="11" spans="1:6" x14ac:dyDescent="0.25">
      <c r="A11" t="s">
        <v>9</v>
      </c>
      <c r="B11">
        <v>1</v>
      </c>
      <c r="C11">
        <v>1402952.95</v>
      </c>
      <c r="D11">
        <v>1117831</v>
      </c>
      <c r="E11">
        <v>2214069</v>
      </c>
      <c r="F11">
        <v>285990.25328994612</v>
      </c>
    </row>
    <row r="12" spans="1:6" ht="15" customHeight="1" x14ac:dyDescent="0.25">
      <c r="A12" s="1" t="s">
        <v>9</v>
      </c>
      <c r="B12">
        <v>2</v>
      </c>
      <c r="C12">
        <v>1593532.5</v>
      </c>
      <c r="D12">
        <v>1337893</v>
      </c>
      <c r="E12">
        <v>1945402</v>
      </c>
      <c r="F12">
        <v>168814.23102377949</v>
      </c>
    </row>
    <row r="13" spans="1:6" x14ac:dyDescent="0.25">
      <c r="A13" t="s">
        <v>9</v>
      </c>
      <c r="B13">
        <v>3</v>
      </c>
      <c r="C13">
        <v>1911092.45</v>
      </c>
      <c r="D13">
        <v>1221960</v>
      </c>
      <c r="E13">
        <v>2918730</v>
      </c>
      <c r="F13">
        <v>404413.17558488069</v>
      </c>
    </row>
    <row r="14" spans="1:6" x14ac:dyDescent="0.25">
      <c r="A14" t="s">
        <v>10</v>
      </c>
      <c r="B14">
        <v>1</v>
      </c>
      <c r="C14">
        <v>1220253.3500000001</v>
      </c>
      <c r="D14">
        <v>1205084</v>
      </c>
      <c r="E14">
        <v>1229235</v>
      </c>
      <c r="F14">
        <v>6545.4729720242522</v>
      </c>
    </row>
    <row r="15" spans="1:6" x14ac:dyDescent="0.25">
      <c r="A15" t="s">
        <v>10</v>
      </c>
      <c r="B15">
        <v>2</v>
      </c>
      <c r="C15">
        <v>1414769.05</v>
      </c>
      <c r="D15">
        <v>1349098</v>
      </c>
      <c r="E15">
        <v>1493795</v>
      </c>
      <c r="F15">
        <v>38606.226424600223</v>
      </c>
    </row>
    <row r="16" spans="1:6" x14ac:dyDescent="0.25">
      <c r="A16" t="s">
        <v>10</v>
      </c>
      <c r="B16">
        <v>3</v>
      </c>
      <c r="C16">
        <v>1631847.55</v>
      </c>
      <c r="D16">
        <v>1580613</v>
      </c>
      <c r="E16">
        <v>1767744</v>
      </c>
      <c r="F16">
        <v>41018.402997282807</v>
      </c>
    </row>
    <row r="17" spans="1:6" x14ac:dyDescent="0.25">
      <c r="A17" t="s">
        <v>11</v>
      </c>
      <c r="B17">
        <v>1</v>
      </c>
      <c r="C17">
        <v>1411160.3</v>
      </c>
      <c r="D17">
        <v>1148945</v>
      </c>
      <c r="E17">
        <v>1688886</v>
      </c>
      <c r="F17">
        <v>148941.3633713281</v>
      </c>
    </row>
    <row r="18" spans="1:6" x14ac:dyDescent="0.25">
      <c r="A18" t="s">
        <v>11</v>
      </c>
      <c r="B18">
        <v>2</v>
      </c>
      <c r="C18">
        <v>1669363.7</v>
      </c>
      <c r="D18">
        <v>1362272</v>
      </c>
      <c r="E18">
        <v>2165260</v>
      </c>
      <c r="F18">
        <v>246983.08053469981</v>
      </c>
    </row>
    <row r="19" spans="1:6" x14ac:dyDescent="0.25">
      <c r="A19" t="s">
        <v>11</v>
      </c>
      <c r="B19">
        <v>3</v>
      </c>
      <c r="C19">
        <v>1913379.65</v>
      </c>
      <c r="D19">
        <v>1459061</v>
      </c>
      <c r="E19">
        <v>2569217</v>
      </c>
      <c r="F19">
        <v>331110.34348979121</v>
      </c>
    </row>
    <row r="20" spans="1:6" ht="15" customHeight="1" x14ac:dyDescent="0.25">
      <c r="A20" s="1" t="s">
        <v>12</v>
      </c>
      <c r="B20">
        <v>1</v>
      </c>
      <c r="C20">
        <v>1334668.7</v>
      </c>
      <c r="D20">
        <v>1230068</v>
      </c>
      <c r="E20">
        <v>1602040</v>
      </c>
      <c r="F20">
        <v>86511.448988616525</v>
      </c>
    </row>
    <row r="21" spans="1:6" x14ac:dyDescent="0.25">
      <c r="A21" t="s">
        <v>12</v>
      </c>
      <c r="B21">
        <v>2</v>
      </c>
      <c r="C21">
        <v>1554588.15</v>
      </c>
      <c r="D21">
        <v>1406070</v>
      </c>
      <c r="E21">
        <v>1762478</v>
      </c>
      <c r="F21">
        <v>90697.751409434059</v>
      </c>
    </row>
    <row r="22" spans="1:6" x14ac:dyDescent="0.25">
      <c r="A22" t="s">
        <v>12</v>
      </c>
      <c r="B22">
        <v>3</v>
      </c>
      <c r="C22">
        <v>1837032.85</v>
      </c>
      <c r="D22">
        <v>1701173</v>
      </c>
      <c r="E22">
        <v>1984398</v>
      </c>
      <c r="F22">
        <v>89946.962563654699</v>
      </c>
    </row>
    <row r="23" spans="1:6" ht="15" customHeight="1" x14ac:dyDescent="0.25">
      <c r="A23" s="1" t="s">
        <v>13</v>
      </c>
      <c r="B23">
        <v>1</v>
      </c>
      <c r="C23">
        <v>1435266.3</v>
      </c>
      <c r="D23">
        <v>1223034</v>
      </c>
      <c r="E23">
        <v>2232938</v>
      </c>
      <c r="F23">
        <v>245691.5958857974</v>
      </c>
    </row>
    <row r="24" spans="1:6" x14ac:dyDescent="0.25">
      <c r="A24" t="s">
        <v>13</v>
      </c>
      <c r="B24">
        <v>2</v>
      </c>
      <c r="C24">
        <v>1877375.65</v>
      </c>
      <c r="D24">
        <v>1334877</v>
      </c>
      <c r="E24">
        <v>3046730</v>
      </c>
      <c r="F24">
        <v>426086.77400715859</v>
      </c>
    </row>
    <row r="25" spans="1:6" x14ac:dyDescent="0.25">
      <c r="A25" t="s">
        <v>13</v>
      </c>
      <c r="B25">
        <v>3</v>
      </c>
      <c r="C25">
        <v>1866664.5</v>
      </c>
      <c r="D25">
        <v>1332340</v>
      </c>
      <c r="E25">
        <v>2368270</v>
      </c>
      <c r="F25">
        <v>264387.19686597912</v>
      </c>
    </row>
    <row r="28" spans="1:6" ht="15" customHeight="1" x14ac:dyDescent="0.25">
      <c r="A28" s="4" t="s">
        <v>14</v>
      </c>
    </row>
    <row r="29" spans="1:6" x14ac:dyDescent="0.25">
      <c r="A29" t="s">
        <v>6</v>
      </c>
      <c r="C29">
        <v>1230341.666666667</v>
      </c>
      <c r="D29">
        <v>1115598</v>
      </c>
      <c r="E29">
        <v>1552125</v>
      </c>
      <c r="F29">
        <v>94822.432507760997</v>
      </c>
    </row>
    <row r="30" spans="1:6" x14ac:dyDescent="0.25">
      <c r="A30" t="s">
        <v>7</v>
      </c>
      <c r="C30">
        <v>1228231.0166666671</v>
      </c>
      <c r="D30">
        <v>1112799</v>
      </c>
      <c r="E30">
        <v>1471679</v>
      </c>
      <c r="F30">
        <v>92008.065614831052</v>
      </c>
    </row>
    <row r="31" spans="1:6" ht="15" customHeight="1" x14ac:dyDescent="0.25">
      <c r="A31" s="1" t="s">
        <v>8</v>
      </c>
      <c r="C31">
        <v>1318870.7333333329</v>
      </c>
      <c r="D31">
        <v>1118679</v>
      </c>
      <c r="E31">
        <v>1662089</v>
      </c>
      <c r="F31">
        <v>243786.51479719349</v>
      </c>
    </row>
    <row r="32" spans="1:6" x14ac:dyDescent="0.25">
      <c r="A32" t="s">
        <v>9</v>
      </c>
      <c r="C32">
        <v>1635859.3</v>
      </c>
      <c r="D32">
        <v>1117831</v>
      </c>
      <c r="E32">
        <v>2918730</v>
      </c>
      <c r="F32">
        <v>367708.62508564669</v>
      </c>
    </row>
    <row r="33" spans="1:6" x14ac:dyDescent="0.25">
      <c r="A33" t="s">
        <v>10</v>
      </c>
      <c r="C33">
        <v>1422289.9833333329</v>
      </c>
      <c r="D33">
        <v>1205084</v>
      </c>
      <c r="E33">
        <v>1767744</v>
      </c>
      <c r="F33">
        <v>171275.15164567719</v>
      </c>
    </row>
    <row r="34" spans="1:6" x14ac:dyDescent="0.25">
      <c r="A34" t="s">
        <v>11</v>
      </c>
      <c r="C34">
        <v>1664634.55</v>
      </c>
      <c r="D34">
        <v>1148945</v>
      </c>
      <c r="E34">
        <v>2569217</v>
      </c>
      <c r="F34">
        <v>326069.47951116308</v>
      </c>
    </row>
    <row r="35" spans="1:6" ht="15" customHeight="1" x14ac:dyDescent="0.25">
      <c r="A35" s="1" t="s">
        <v>12</v>
      </c>
      <c r="C35">
        <v>1575429.9</v>
      </c>
      <c r="D35">
        <v>1230068</v>
      </c>
      <c r="E35">
        <v>1984398</v>
      </c>
      <c r="F35">
        <v>224081.24003619011</v>
      </c>
    </row>
    <row r="36" spans="1:6" ht="15" customHeight="1" x14ac:dyDescent="0.25">
      <c r="A36" s="1" t="s">
        <v>13</v>
      </c>
      <c r="C36">
        <v>1726435.4833333329</v>
      </c>
      <c r="D36">
        <v>1223034</v>
      </c>
      <c r="E36">
        <v>3046730</v>
      </c>
      <c r="F36">
        <v>382553.47926403233</v>
      </c>
    </row>
    <row r="39" spans="1:6" ht="15" customHeight="1" x14ac:dyDescent="0.25">
      <c r="A39" s="4" t="s">
        <v>15</v>
      </c>
    </row>
    <row r="40" spans="1:6" x14ac:dyDescent="0.25">
      <c r="A40" t="s">
        <v>16</v>
      </c>
      <c r="B40">
        <v>1</v>
      </c>
      <c r="C40">
        <v>2</v>
      </c>
      <c r="D40">
        <v>3</v>
      </c>
    </row>
    <row r="41" spans="1:6" x14ac:dyDescent="0.25">
      <c r="A41" t="s">
        <v>6</v>
      </c>
      <c r="B41">
        <v>1133674.5</v>
      </c>
      <c r="C41">
        <v>1275412.05</v>
      </c>
      <c r="D41">
        <v>1281938.45</v>
      </c>
    </row>
    <row r="42" spans="1:6" x14ac:dyDescent="0.25">
      <c r="A42" t="s">
        <v>7</v>
      </c>
      <c r="B42">
        <v>1134788.95</v>
      </c>
      <c r="C42">
        <v>1259039.2</v>
      </c>
      <c r="D42">
        <v>1290864.8999999999</v>
      </c>
    </row>
    <row r="43" spans="1:6" ht="15" customHeight="1" x14ac:dyDescent="0.25">
      <c r="A43" s="1" t="s">
        <v>8</v>
      </c>
      <c r="B43">
        <v>1118706.55</v>
      </c>
      <c r="C43">
        <v>1175850.95</v>
      </c>
      <c r="D43">
        <v>1662054.7</v>
      </c>
    </row>
    <row r="44" spans="1:6" x14ac:dyDescent="0.25">
      <c r="A44" t="s">
        <v>9</v>
      </c>
      <c r="B44">
        <v>1402952.95</v>
      </c>
      <c r="C44">
        <v>1593532.5</v>
      </c>
      <c r="D44">
        <v>1911092.45</v>
      </c>
    </row>
    <row r="45" spans="1:6" x14ac:dyDescent="0.25">
      <c r="A45" t="s">
        <v>10</v>
      </c>
      <c r="B45">
        <v>1220253.3500000001</v>
      </c>
      <c r="C45">
        <v>1414769.05</v>
      </c>
      <c r="D45">
        <v>1631847.55</v>
      </c>
    </row>
    <row r="46" spans="1:6" x14ac:dyDescent="0.25">
      <c r="A46" t="s">
        <v>11</v>
      </c>
      <c r="B46">
        <v>1411160.3</v>
      </c>
      <c r="C46">
        <v>1669363.7</v>
      </c>
      <c r="D46">
        <v>1913379.65</v>
      </c>
    </row>
    <row r="47" spans="1:6" ht="15" customHeight="1" x14ac:dyDescent="0.25">
      <c r="A47" s="1" t="s">
        <v>12</v>
      </c>
      <c r="B47">
        <v>1334668.7</v>
      </c>
      <c r="C47">
        <v>1554588.15</v>
      </c>
      <c r="D47">
        <v>1837032.85</v>
      </c>
    </row>
    <row r="48" spans="1:6" x14ac:dyDescent="0.25">
      <c r="A48" t="s">
        <v>13</v>
      </c>
      <c r="B48">
        <v>1435266.3</v>
      </c>
      <c r="C48">
        <v>1877375.65</v>
      </c>
      <c r="D48">
        <v>1866664.5</v>
      </c>
    </row>
    <row r="51" spans="1:61" ht="15" customHeight="1" x14ac:dyDescent="0.25">
      <c r="A51" s="4" t="s">
        <v>17</v>
      </c>
    </row>
    <row r="52" spans="1:61" x14ac:dyDescent="0.25">
      <c r="A52" t="s">
        <v>16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x14ac:dyDescent="0.25">
      <c r="A53" t="s">
        <v>6</v>
      </c>
      <c r="B53">
        <v>1122426</v>
      </c>
      <c r="C53">
        <v>1115598</v>
      </c>
      <c r="D53">
        <v>1119237</v>
      </c>
      <c r="E53">
        <v>1120953</v>
      </c>
      <c r="F53">
        <v>1122344</v>
      </c>
      <c r="G53">
        <v>1131873</v>
      </c>
      <c r="H53">
        <v>1209369</v>
      </c>
      <c r="I53">
        <v>1119913</v>
      </c>
      <c r="J53">
        <v>1117573</v>
      </c>
      <c r="K53">
        <v>1120233</v>
      </c>
      <c r="L53">
        <v>1116038</v>
      </c>
      <c r="M53">
        <v>1120607</v>
      </c>
      <c r="N53">
        <v>1121334</v>
      </c>
      <c r="O53">
        <v>1119364</v>
      </c>
      <c r="P53">
        <v>1117722</v>
      </c>
      <c r="Q53">
        <v>1208634</v>
      </c>
      <c r="R53">
        <v>1119908</v>
      </c>
      <c r="S53">
        <v>1127097</v>
      </c>
      <c r="T53">
        <v>1115888</v>
      </c>
      <c r="U53">
        <v>1207379</v>
      </c>
      <c r="V53">
        <v>1297932</v>
      </c>
      <c r="W53">
        <v>1295872</v>
      </c>
      <c r="X53">
        <v>1414012</v>
      </c>
      <c r="Y53">
        <v>1269521</v>
      </c>
      <c r="Z53">
        <v>1384157</v>
      </c>
      <c r="AA53">
        <v>1269488</v>
      </c>
      <c r="AB53">
        <v>1413712</v>
      </c>
      <c r="AC53">
        <v>1340075</v>
      </c>
      <c r="AD53">
        <v>1248095</v>
      </c>
      <c r="AE53">
        <v>1258149</v>
      </c>
      <c r="AF53">
        <v>1247702</v>
      </c>
      <c r="AG53">
        <v>1292981</v>
      </c>
      <c r="AH53">
        <v>1182190</v>
      </c>
      <c r="AI53">
        <v>1227359</v>
      </c>
      <c r="AJ53">
        <v>1179867</v>
      </c>
      <c r="AK53">
        <v>1361659</v>
      </c>
      <c r="AL53">
        <v>1230545</v>
      </c>
      <c r="AM53">
        <v>1229367</v>
      </c>
      <c r="AN53">
        <v>1185194</v>
      </c>
      <c r="AO53">
        <v>1180364</v>
      </c>
      <c r="AP53">
        <v>1242816</v>
      </c>
      <c r="AQ53">
        <v>1348923</v>
      </c>
      <c r="AR53">
        <v>1217360</v>
      </c>
      <c r="AS53">
        <v>1253684</v>
      </c>
      <c r="AT53">
        <v>1315606</v>
      </c>
      <c r="AU53">
        <v>1220364</v>
      </c>
      <c r="AV53">
        <v>1364388</v>
      </c>
      <c r="AW53">
        <v>1352572</v>
      </c>
      <c r="AX53">
        <v>1244862</v>
      </c>
      <c r="AY53">
        <v>1270315</v>
      </c>
      <c r="AZ53">
        <v>1250001</v>
      </c>
      <c r="BA53">
        <v>1228635</v>
      </c>
      <c r="BB53">
        <v>1359002</v>
      </c>
      <c r="BC53">
        <v>1221294</v>
      </c>
      <c r="BD53">
        <v>1238482</v>
      </c>
      <c r="BE53">
        <v>1219859</v>
      </c>
      <c r="BF53">
        <v>1205279</v>
      </c>
      <c r="BG53">
        <v>1552125</v>
      </c>
      <c r="BH53">
        <v>1314550</v>
      </c>
      <c r="BI53">
        <v>1218652</v>
      </c>
    </row>
    <row r="54" spans="1:61" x14ac:dyDescent="0.25">
      <c r="A54" t="s">
        <v>7</v>
      </c>
      <c r="B54">
        <v>1223020</v>
      </c>
      <c r="C54">
        <v>1115720</v>
      </c>
      <c r="D54">
        <v>1114961</v>
      </c>
      <c r="E54">
        <v>1219045</v>
      </c>
      <c r="F54">
        <v>1145990</v>
      </c>
      <c r="G54">
        <v>1222991</v>
      </c>
      <c r="H54">
        <v>1149879</v>
      </c>
      <c r="I54">
        <v>1114679</v>
      </c>
      <c r="J54">
        <v>1112843</v>
      </c>
      <c r="K54">
        <v>1113843</v>
      </c>
      <c r="L54">
        <v>1115709</v>
      </c>
      <c r="M54">
        <v>1114850</v>
      </c>
      <c r="N54">
        <v>1112799</v>
      </c>
      <c r="O54">
        <v>1118692</v>
      </c>
      <c r="P54">
        <v>1117759</v>
      </c>
      <c r="Q54">
        <v>1116946</v>
      </c>
      <c r="R54">
        <v>1117751</v>
      </c>
      <c r="S54">
        <v>1116981</v>
      </c>
      <c r="T54">
        <v>1115629</v>
      </c>
      <c r="U54">
        <v>1115692</v>
      </c>
      <c r="V54">
        <v>1246636</v>
      </c>
      <c r="W54">
        <v>1220799</v>
      </c>
      <c r="X54">
        <v>1293091</v>
      </c>
      <c r="Y54">
        <v>1296494</v>
      </c>
      <c r="Z54">
        <v>1178948</v>
      </c>
      <c r="AA54">
        <v>1269862</v>
      </c>
      <c r="AB54">
        <v>1290849</v>
      </c>
      <c r="AC54">
        <v>1246649</v>
      </c>
      <c r="AD54">
        <v>1176958</v>
      </c>
      <c r="AE54">
        <v>1335739</v>
      </c>
      <c r="AF54">
        <v>1268104</v>
      </c>
      <c r="AG54">
        <v>1244996</v>
      </c>
      <c r="AH54">
        <v>1293549</v>
      </c>
      <c r="AI54">
        <v>1247967</v>
      </c>
      <c r="AJ54">
        <v>1335648</v>
      </c>
      <c r="AK54">
        <v>1192907</v>
      </c>
      <c r="AL54">
        <v>1292700</v>
      </c>
      <c r="AM54">
        <v>1234886</v>
      </c>
      <c r="AN54">
        <v>1333215</v>
      </c>
      <c r="AO54">
        <v>1180787</v>
      </c>
      <c r="AP54">
        <v>1391064</v>
      </c>
      <c r="AQ54">
        <v>1244252</v>
      </c>
      <c r="AR54">
        <v>1232285</v>
      </c>
      <c r="AS54">
        <v>1328965</v>
      </c>
      <c r="AT54">
        <v>1331246</v>
      </c>
      <c r="AU54">
        <v>1215872</v>
      </c>
      <c r="AV54">
        <v>1334034</v>
      </c>
      <c r="AW54">
        <v>1210802</v>
      </c>
      <c r="AX54">
        <v>1253472</v>
      </c>
      <c r="AY54">
        <v>1226475</v>
      </c>
      <c r="AZ54">
        <v>1220378</v>
      </c>
      <c r="BA54">
        <v>1330542</v>
      </c>
      <c r="BB54">
        <v>1381202</v>
      </c>
      <c r="BC54">
        <v>1471679</v>
      </c>
      <c r="BD54">
        <v>1464944</v>
      </c>
      <c r="BE54">
        <v>1262780</v>
      </c>
      <c r="BF54">
        <v>1364177</v>
      </c>
      <c r="BG54">
        <v>1156688</v>
      </c>
      <c r="BH54">
        <v>1212931</v>
      </c>
      <c r="BI54">
        <v>1183510</v>
      </c>
    </row>
    <row r="55" spans="1:61" x14ac:dyDescent="0.25">
      <c r="A55" t="s">
        <v>8</v>
      </c>
      <c r="B55">
        <v>1118709</v>
      </c>
      <c r="C55">
        <v>1118718</v>
      </c>
      <c r="D55">
        <v>1118691</v>
      </c>
      <c r="E55">
        <v>1118722</v>
      </c>
      <c r="F55">
        <v>1118740</v>
      </c>
      <c r="G55">
        <v>1118706</v>
      </c>
      <c r="H55">
        <v>1118714</v>
      </c>
      <c r="I55">
        <v>1118699</v>
      </c>
      <c r="J55">
        <v>1118688</v>
      </c>
      <c r="K55">
        <v>1118708</v>
      </c>
      <c r="L55">
        <v>1118731</v>
      </c>
      <c r="M55">
        <v>1118700</v>
      </c>
      <c r="N55">
        <v>1118714</v>
      </c>
      <c r="O55">
        <v>1118700</v>
      </c>
      <c r="P55">
        <v>1118707</v>
      </c>
      <c r="Q55">
        <v>1118729</v>
      </c>
      <c r="R55">
        <v>1118679</v>
      </c>
      <c r="S55">
        <v>1118687</v>
      </c>
      <c r="T55">
        <v>1118697</v>
      </c>
      <c r="U55">
        <v>1118692</v>
      </c>
      <c r="V55">
        <v>1175854</v>
      </c>
      <c r="W55">
        <v>1175851</v>
      </c>
      <c r="X55">
        <v>1175829</v>
      </c>
      <c r="Y55">
        <v>1175856</v>
      </c>
      <c r="Z55">
        <v>1175847</v>
      </c>
      <c r="AA55">
        <v>1175854</v>
      </c>
      <c r="AB55">
        <v>1175855</v>
      </c>
      <c r="AC55">
        <v>1175859</v>
      </c>
      <c r="AD55">
        <v>1175851</v>
      </c>
      <c r="AE55">
        <v>1175832</v>
      </c>
      <c r="AF55">
        <v>1175869</v>
      </c>
      <c r="AG55">
        <v>1175875</v>
      </c>
      <c r="AH55">
        <v>1175855</v>
      </c>
      <c r="AI55">
        <v>1175824</v>
      </c>
      <c r="AJ55">
        <v>1175851</v>
      </c>
      <c r="AK55">
        <v>1175830</v>
      </c>
      <c r="AL55">
        <v>1175843</v>
      </c>
      <c r="AM55">
        <v>1175849</v>
      </c>
      <c r="AN55">
        <v>1175881</v>
      </c>
      <c r="AO55">
        <v>1175854</v>
      </c>
      <c r="AP55">
        <v>1662045</v>
      </c>
      <c r="AQ55">
        <v>1662062</v>
      </c>
      <c r="AR55">
        <v>1662080</v>
      </c>
      <c r="AS55">
        <v>1662045</v>
      </c>
      <c r="AT55">
        <v>1662064</v>
      </c>
      <c r="AU55">
        <v>1662075</v>
      </c>
      <c r="AV55">
        <v>1662060</v>
      </c>
      <c r="AW55">
        <v>1662057</v>
      </c>
      <c r="AX55">
        <v>1662063</v>
      </c>
      <c r="AY55">
        <v>1662058</v>
      </c>
      <c r="AZ55">
        <v>1662056</v>
      </c>
      <c r="BA55">
        <v>1662045</v>
      </c>
      <c r="BB55">
        <v>1662039</v>
      </c>
      <c r="BC55">
        <v>1662038</v>
      </c>
      <c r="BD55">
        <v>1662041</v>
      </c>
      <c r="BE55">
        <v>1662023</v>
      </c>
      <c r="BF55">
        <v>1662033</v>
      </c>
      <c r="BG55">
        <v>1662065</v>
      </c>
      <c r="BH55">
        <v>1662056</v>
      </c>
      <c r="BI55">
        <v>1662089</v>
      </c>
    </row>
    <row r="56" spans="1:61" x14ac:dyDescent="0.25">
      <c r="A56" t="s">
        <v>9</v>
      </c>
      <c r="B56">
        <v>1366671</v>
      </c>
      <c r="C56">
        <v>1306346</v>
      </c>
      <c r="D56">
        <v>1332815</v>
      </c>
      <c r="E56">
        <v>1221064</v>
      </c>
      <c r="F56">
        <v>2214069</v>
      </c>
      <c r="G56">
        <v>1319794</v>
      </c>
      <c r="H56">
        <v>1250334</v>
      </c>
      <c r="I56">
        <v>1253225</v>
      </c>
      <c r="J56">
        <v>1207306</v>
      </c>
      <c r="K56">
        <v>1402583</v>
      </c>
      <c r="L56">
        <v>1145904</v>
      </c>
      <c r="M56">
        <v>1650335</v>
      </c>
      <c r="N56">
        <v>1265149</v>
      </c>
      <c r="O56">
        <v>1229209</v>
      </c>
      <c r="P56">
        <v>1562408</v>
      </c>
      <c r="Q56">
        <v>1227264</v>
      </c>
      <c r="R56">
        <v>1117831</v>
      </c>
      <c r="S56">
        <v>2120124</v>
      </c>
      <c r="T56">
        <v>1497067</v>
      </c>
      <c r="U56">
        <v>1369561</v>
      </c>
      <c r="V56">
        <v>1631698</v>
      </c>
      <c r="W56">
        <v>1528906</v>
      </c>
      <c r="X56">
        <v>1339024</v>
      </c>
      <c r="Y56">
        <v>1617121</v>
      </c>
      <c r="Z56">
        <v>1605445</v>
      </c>
      <c r="AA56">
        <v>1687809</v>
      </c>
      <c r="AB56">
        <v>1681921</v>
      </c>
      <c r="AC56">
        <v>1801780</v>
      </c>
      <c r="AD56">
        <v>1582326</v>
      </c>
      <c r="AE56">
        <v>1406393</v>
      </c>
      <c r="AF56">
        <v>1878890</v>
      </c>
      <c r="AG56">
        <v>1338577</v>
      </c>
      <c r="AH56">
        <v>1605636</v>
      </c>
      <c r="AI56">
        <v>1463125</v>
      </c>
      <c r="AJ56">
        <v>1587101</v>
      </c>
      <c r="AK56">
        <v>1337893</v>
      </c>
      <c r="AL56">
        <v>1570051</v>
      </c>
      <c r="AM56">
        <v>1784935</v>
      </c>
      <c r="AN56">
        <v>1945402</v>
      </c>
      <c r="AO56">
        <v>1476617</v>
      </c>
      <c r="AP56">
        <v>1555707</v>
      </c>
      <c r="AQ56">
        <v>2328834</v>
      </c>
      <c r="AR56">
        <v>1450145</v>
      </c>
      <c r="AS56">
        <v>2450545</v>
      </c>
      <c r="AT56">
        <v>1573339</v>
      </c>
      <c r="AU56">
        <v>1929024</v>
      </c>
      <c r="AV56">
        <v>2610751</v>
      </c>
      <c r="AW56">
        <v>1872532</v>
      </c>
      <c r="AX56">
        <v>1836043</v>
      </c>
      <c r="AY56">
        <v>1691265</v>
      </c>
      <c r="AZ56">
        <v>1221960</v>
      </c>
      <c r="BA56">
        <v>2219986</v>
      </c>
      <c r="BB56">
        <v>1832294</v>
      </c>
      <c r="BC56">
        <v>1606238</v>
      </c>
      <c r="BD56">
        <v>1862498</v>
      </c>
      <c r="BE56">
        <v>2918730</v>
      </c>
      <c r="BF56">
        <v>2060578</v>
      </c>
      <c r="BG56">
        <v>1781217</v>
      </c>
      <c r="BH56">
        <v>1701025</v>
      </c>
      <c r="BI56">
        <v>1719138</v>
      </c>
    </row>
    <row r="57" spans="1:61" x14ac:dyDescent="0.25">
      <c r="A57" t="s">
        <v>10</v>
      </c>
      <c r="B57">
        <v>1225332</v>
      </c>
      <c r="C57">
        <v>1219827</v>
      </c>
      <c r="D57">
        <v>1225330</v>
      </c>
      <c r="E57">
        <v>1205084</v>
      </c>
      <c r="F57">
        <v>1219095</v>
      </c>
      <c r="G57">
        <v>1225372</v>
      </c>
      <c r="H57">
        <v>1226413</v>
      </c>
      <c r="I57">
        <v>1227230</v>
      </c>
      <c r="J57">
        <v>1221075</v>
      </c>
      <c r="K57">
        <v>1226374</v>
      </c>
      <c r="L57">
        <v>1218269</v>
      </c>
      <c r="M57">
        <v>1225295</v>
      </c>
      <c r="N57">
        <v>1210059</v>
      </c>
      <c r="O57">
        <v>1206453</v>
      </c>
      <c r="P57">
        <v>1218027</v>
      </c>
      <c r="Q57">
        <v>1229235</v>
      </c>
      <c r="R57">
        <v>1218294</v>
      </c>
      <c r="S57">
        <v>1221065</v>
      </c>
      <c r="T57">
        <v>1219945</v>
      </c>
      <c r="U57">
        <v>1217293</v>
      </c>
      <c r="V57">
        <v>1415755</v>
      </c>
      <c r="W57">
        <v>1407990</v>
      </c>
      <c r="X57">
        <v>1381476</v>
      </c>
      <c r="Y57">
        <v>1409287</v>
      </c>
      <c r="Z57">
        <v>1402926</v>
      </c>
      <c r="AA57">
        <v>1366874</v>
      </c>
      <c r="AB57">
        <v>1439337</v>
      </c>
      <c r="AC57">
        <v>1418599</v>
      </c>
      <c r="AD57">
        <v>1358734</v>
      </c>
      <c r="AE57">
        <v>1402816</v>
      </c>
      <c r="AF57">
        <v>1399417</v>
      </c>
      <c r="AG57">
        <v>1489185</v>
      </c>
      <c r="AH57">
        <v>1453748</v>
      </c>
      <c r="AI57">
        <v>1432329</v>
      </c>
      <c r="AJ57">
        <v>1448034</v>
      </c>
      <c r="AK57">
        <v>1379812</v>
      </c>
      <c r="AL57">
        <v>1451915</v>
      </c>
      <c r="AM57">
        <v>1493795</v>
      </c>
      <c r="AN57">
        <v>1349098</v>
      </c>
      <c r="AO57">
        <v>1394254</v>
      </c>
      <c r="AP57">
        <v>1600041</v>
      </c>
      <c r="AQ57">
        <v>1635733</v>
      </c>
      <c r="AR57">
        <v>1620519</v>
      </c>
      <c r="AS57">
        <v>1588819</v>
      </c>
      <c r="AT57">
        <v>1620320</v>
      </c>
      <c r="AU57">
        <v>1600555</v>
      </c>
      <c r="AV57">
        <v>1605272</v>
      </c>
      <c r="AW57">
        <v>1641530</v>
      </c>
      <c r="AX57">
        <v>1767744</v>
      </c>
      <c r="AY57">
        <v>1600634</v>
      </c>
      <c r="AZ57">
        <v>1580613</v>
      </c>
      <c r="BA57">
        <v>1653383</v>
      </c>
      <c r="BB57">
        <v>1662822</v>
      </c>
      <c r="BC57">
        <v>1596306</v>
      </c>
      <c r="BD57">
        <v>1628441</v>
      </c>
      <c r="BE57">
        <v>1660846</v>
      </c>
      <c r="BF57">
        <v>1620204</v>
      </c>
      <c r="BG57">
        <v>1621030</v>
      </c>
      <c r="BH57">
        <v>1649781</v>
      </c>
      <c r="BI57">
        <v>1682358</v>
      </c>
    </row>
    <row r="58" spans="1:61" x14ac:dyDescent="0.25">
      <c r="A58" t="s">
        <v>11</v>
      </c>
      <c r="B58">
        <v>1253232</v>
      </c>
      <c r="C58">
        <v>1320588</v>
      </c>
      <c r="D58">
        <v>1330769</v>
      </c>
      <c r="E58">
        <v>1413162</v>
      </c>
      <c r="F58">
        <v>1204461</v>
      </c>
      <c r="G58">
        <v>1317567</v>
      </c>
      <c r="H58">
        <v>1485936</v>
      </c>
      <c r="I58">
        <v>1148945</v>
      </c>
      <c r="J58">
        <v>1377111</v>
      </c>
      <c r="K58">
        <v>1447316</v>
      </c>
      <c r="L58">
        <v>1654685</v>
      </c>
      <c r="M58">
        <v>1652327</v>
      </c>
      <c r="N58">
        <v>1393434</v>
      </c>
      <c r="O58">
        <v>1333735</v>
      </c>
      <c r="P58">
        <v>1688886</v>
      </c>
      <c r="Q58">
        <v>1330824</v>
      </c>
      <c r="R58">
        <v>1622344</v>
      </c>
      <c r="S58">
        <v>1534280</v>
      </c>
      <c r="T58">
        <v>1319834</v>
      </c>
      <c r="U58">
        <v>1393770</v>
      </c>
      <c r="V58">
        <v>1821914</v>
      </c>
      <c r="W58">
        <v>1581518</v>
      </c>
      <c r="X58">
        <v>2165260</v>
      </c>
      <c r="Y58">
        <v>1407274</v>
      </c>
      <c r="Z58">
        <v>1907499</v>
      </c>
      <c r="AA58">
        <v>1852217</v>
      </c>
      <c r="AB58">
        <v>1585331</v>
      </c>
      <c r="AC58">
        <v>1672838</v>
      </c>
      <c r="AD58">
        <v>1394926</v>
      </c>
      <c r="AE58">
        <v>1446947</v>
      </c>
      <c r="AF58">
        <v>1757408</v>
      </c>
      <c r="AG58">
        <v>1410159</v>
      </c>
      <c r="AH58">
        <v>2066911</v>
      </c>
      <c r="AI58">
        <v>2129442</v>
      </c>
      <c r="AJ58">
        <v>1740041</v>
      </c>
      <c r="AK58">
        <v>1550465</v>
      </c>
      <c r="AL58">
        <v>1362272</v>
      </c>
      <c r="AM58">
        <v>1406447</v>
      </c>
      <c r="AN58">
        <v>1524944</v>
      </c>
      <c r="AO58">
        <v>1603461</v>
      </c>
      <c r="AP58">
        <v>2185336</v>
      </c>
      <c r="AQ58">
        <v>2475621</v>
      </c>
      <c r="AR58">
        <v>1931747</v>
      </c>
      <c r="AS58">
        <v>1796709</v>
      </c>
      <c r="AT58">
        <v>2100777</v>
      </c>
      <c r="AU58">
        <v>1918287</v>
      </c>
      <c r="AV58">
        <v>1665374</v>
      </c>
      <c r="AW58">
        <v>1459061</v>
      </c>
      <c r="AX58">
        <v>2569217</v>
      </c>
      <c r="AY58">
        <v>1571559</v>
      </c>
      <c r="AZ58">
        <v>1638291</v>
      </c>
      <c r="BA58">
        <v>2030477</v>
      </c>
      <c r="BB58">
        <v>2016008</v>
      </c>
      <c r="BC58">
        <v>2548343</v>
      </c>
      <c r="BD58">
        <v>1572516</v>
      </c>
      <c r="BE58">
        <v>1487251</v>
      </c>
      <c r="BF58">
        <v>1550224</v>
      </c>
      <c r="BG58">
        <v>1873247</v>
      </c>
      <c r="BH58">
        <v>1900138</v>
      </c>
      <c r="BI58">
        <v>1977410</v>
      </c>
    </row>
    <row r="59" spans="1:61" ht="15" customHeight="1" x14ac:dyDescent="0.25">
      <c r="A59" s="1" t="s">
        <v>12</v>
      </c>
      <c r="B59">
        <v>1278495</v>
      </c>
      <c r="C59">
        <v>1320715</v>
      </c>
      <c r="D59">
        <v>1316888</v>
      </c>
      <c r="E59">
        <v>1271832</v>
      </c>
      <c r="F59">
        <v>1329897</v>
      </c>
      <c r="G59">
        <v>1230197</v>
      </c>
      <c r="H59">
        <v>1333695</v>
      </c>
      <c r="I59">
        <v>1262774</v>
      </c>
      <c r="J59">
        <v>1334581</v>
      </c>
      <c r="K59">
        <v>1331714</v>
      </c>
      <c r="L59">
        <v>1602040</v>
      </c>
      <c r="M59">
        <v>1330764</v>
      </c>
      <c r="N59">
        <v>1494878</v>
      </c>
      <c r="O59">
        <v>1230068</v>
      </c>
      <c r="P59">
        <v>1329774</v>
      </c>
      <c r="Q59">
        <v>1331528</v>
      </c>
      <c r="R59">
        <v>1441093</v>
      </c>
      <c r="S59">
        <v>1333698</v>
      </c>
      <c r="T59">
        <v>1254156</v>
      </c>
      <c r="U59">
        <v>1334587</v>
      </c>
      <c r="V59">
        <v>1506422</v>
      </c>
      <c r="W59">
        <v>1482035</v>
      </c>
      <c r="X59">
        <v>1650997</v>
      </c>
      <c r="Y59">
        <v>1550954</v>
      </c>
      <c r="Z59">
        <v>1562554</v>
      </c>
      <c r="AA59">
        <v>1478235</v>
      </c>
      <c r="AB59">
        <v>1584435</v>
      </c>
      <c r="AC59">
        <v>1619616</v>
      </c>
      <c r="AD59">
        <v>1631237</v>
      </c>
      <c r="AE59">
        <v>1406070</v>
      </c>
      <c r="AF59">
        <v>1484266</v>
      </c>
      <c r="AG59">
        <v>1640092</v>
      </c>
      <c r="AH59">
        <v>1612812</v>
      </c>
      <c r="AI59">
        <v>1433535</v>
      </c>
      <c r="AJ59">
        <v>1485737</v>
      </c>
      <c r="AK59">
        <v>1484020</v>
      </c>
      <c r="AL59">
        <v>1459804</v>
      </c>
      <c r="AM59">
        <v>1681218</v>
      </c>
      <c r="AN59">
        <v>1762478</v>
      </c>
      <c r="AO59">
        <v>1575246</v>
      </c>
      <c r="AP59">
        <v>1881063</v>
      </c>
      <c r="AQ59">
        <v>1984398</v>
      </c>
      <c r="AR59">
        <v>1701173</v>
      </c>
      <c r="AS59">
        <v>1714309</v>
      </c>
      <c r="AT59">
        <v>1869341</v>
      </c>
      <c r="AU59">
        <v>1867258</v>
      </c>
      <c r="AV59">
        <v>1842608</v>
      </c>
      <c r="AW59">
        <v>1809818</v>
      </c>
      <c r="AX59">
        <v>1913335</v>
      </c>
      <c r="AY59">
        <v>1713114</v>
      </c>
      <c r="AZ59">
        <v>1978548</v>
      </c>
      <c r="BA59">
        <v>1784329</v>
      </c>
      <c r="BB59">
        <v>1922770</v>
      </c>
      <c r="BC59">
        <v>1870831</v>
      </c>
      <c r="BD59">
        <v>1814569</v>
      </c>
      <c r="BE59">
        <v>1734939</v>
      </c>
      <c r="BF59">
        <v>1963675</v>
      </c>
      <c r="BG59">
        <v>1887735</v>
      </c>
      <c r="BH59">
        <v>1777830</v>
      </c>
      <c r="BI59">
        <v>1709014</v>
      </c>
    </row>
    <row r="60" spans="1:61" x14ac:dyDescent="0.25">
      <c r="A60" t="s">
        <v>13</v>
      </c>
      <c r="B60">
        <v>1316920</v>
      </c>
      <c r="C60">
        <v>1469312</v>
      </c>
      <c r="D60">
        <v>1332410</v>
      </c>
      <c r="E60">
        <v>1625493</v>
      </c>
      <c r="F60">
        <v>1319694</v>
      </c>
      <c r="G60">
        <v>1333523</v>
      </c>
      <c r="H60">
        <v>2232938</v>
      </c>
      <c r="I60">
        <v>1655463</v>
      </c>
      <c r="J60">
        <v>1359002</v>
      </c>
      <c r="K60">
        <v>1238194</v>
      </c>
      <c r="L60">
        <v>1223034</v>
      </c>
      <c r="M60">
        <v>1316685</v>
      </c>
      <c r="N60">
        <v>1853898</v>
      </c>
      <c r="O60">
        <v>1431495</v>
      </c>
      <c r="P60">
        <v>1254314</v>
      </c>
      <c r="Q60">
        <v>1584719</v>
      </c>
      <c r="R60">
        <v>1377123</v>
      </c>
      <c r="S60">
        <v>1223046</v>
      </c>
      <c r="T60">
        <v>1226400</v>
      </c>
      <c r="U60">
        <v>1331663</v>
      </c>
      <c r="V60">
        <v>1910111</v>
      </c>
      <c r="W60">
        <v>1476142</v>
      </c>
      <c r="X60">
        <v>2103359</v>
      </c>
      <c r="Y60">
        <v>1434861</v>
      </c>
      <c r="Z60">
        <v>1628872</v>
      </c>
      <c r="AA60">
        <v>1682771</v>
      </c>
      <c r="AB60">
        <v>1336147</v>
      </c>
      <c r="AC60">
        <v>2047197</v>
      </c>
      <c r="AD60">
        <v>2151223</v>
      </c>
      <c r="AE60">
        <v>2150290</v>
      </c>
      <c r="AF60">
        <v>3046730</v>
      </c>
      <c r="AG60">
        <v>1334877</v>
      </c>
      <c r="AH60">
        <v>2047206</v>
      </c>
      <c r="AI60">
        <v>1648265</v>
      </c>
      <c r="AJ60">
        <v>1420942</v>
      </c>
      <c r="AK60">
        <v>2081029</v>
      </c>
      <c r="AL60">
        <v>2465843</v>
      </c>
      <c r="AM60">
        <v>2315874</v>
      </c>
      <c r="AN60">
        <v>1622284</v>
      </c>
      <c r="AO60">
        <v>1643490</v>
      </c>
      <c r="AP60">
        <v>1810373</v>
      </c>
      <c r="AQ60">
        <v>2368270</v>
      </c>
      <c r="AR60">
        <v>1819676</v>
      </c>
      <c r="AS60">
        <v>1569329</v>
      </c>
      <c r="AT60">
        <v>1800643</v>
      </c>
      <c r="AU60">
        <v>2254896</v>
      </c>
      <c r="AV60">
        <v>1992715</v>
      </c>
      <c r="AW60">
        <v>1806172</v>
      </c>
      <c r="AX60">
        <v>2037529</v>
      </c>
      <c r="AY60">
        <v>1868428</v>
      </c>
      <c r="AZ60">
        <v>1952946</v>
      </c>
      <c r="BA60">
        <v>1628049</v>
      </c>
      <c r="BB60">
        <v>1657626</v>
      </c>
      <c r="BC60">
        <v>2323007</v>
      </c>
      <c r="BD60">
        <v>1789529</v>
      </c>
      <c r="BE60">
        <v>1888175</v>
      </c>
      <c r="BF60">
        <v>1423469</v>
      </c>
      <c r="BG60">
        <v>1332340</v>
      </c>
      <c r="BH60">
        <v>1951118</v>
      </c>
      <c r="BI60">
        <v>2059000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I68"/>
  <sheetViews>
    <sheetView zoomScaleNormal="100" workbookViewId="0">
      <selection activeCell="F37" sqref="A1:XFD1048576"/>
    </sheetView>
  </sheetViews>
  <sheetFormatPr defaultColWidth="8.5703125" defaultRowHeight="15" x14ac:dyDescent="0.25"/>
  <cols>
    <col min="1" max="1" width="24" customWidth="1"/>
    <col min="2" max="2" width="6" customWidth="1"/>
    <col min="3" max="3" width="9" customWidth="1"/>
    <col min="4" max="5" width="6" customWidth="1"/>
    <col min="6" max="6" width="21" customWidth="1"/>
    <col min="7" max="61" width="6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15" customHeight="1" x14ac:dyDescent="0.25">
      <c r="A2" t="s">
        <v>6</v>
      </c>
      <c r="B2">
        <v>1</v>
      </c>
      <c r="C2">
        <v>1</v>
      </c>
      <c r="D2" s="2" t="b">
        <v>1</v>
      </c>
      <c r="E2" s="2" t="b">
        <v>1</v>
      </c>
      <c r="F2">
        <v>0</v>
      </c>
    </row>
    <row r="3" spans="1:6" ht="15" customHeight="1" x14ac:dyDescent="0.25">
      <c r="A3" t="s">
        <v>6</v>
      </c>
      <c r="B3">
        <v>2</v>
      </c>
      <c r="C3">
        <v>1</v>
      </c>
      <c r="D3" s="2" t="b">
        <v>1</v>
      </c>
      <c r="E3" s="2" t="b">
        <v>1</v>
      </c>
      <c r="F3">
        <v>0</v>
      </c>
    </row>
    <row r="4" spans="1:6" ht="15" customHeight="1" x14ac:dyDescent="0.25">
      <c r="A4" t="s">
        <v>6</v>
      </c>
      <c r="B4">
        <v>3</v>
      </c>
      <c r="C4">
        <v>1</v>
      </c>
      <c r="D4" s="2" t="b">
        <v>1</v>
      </c>
      <c r="E4" s="2" t="b">
        <v>1</v>
      </c>
      <c r="F4">
        <v>0</v>
      </c>
    </row>
    <row r="5" spans="1:6" ht="15" customHeight="1" x14ac:dyDescent="0.25">
      <c r="A5" t="s">
        <v>7</v>
      </c>
      <c r="B5">
        <v>1</v>
      </c>
      <c r="C5">
        <v>1</v>
      </c>
      <c r="D5" s="2" t="b">
        <v>1</v>
      </c>
      <c r="E5" s="2" t="b">
        <v>1</v>
      </c>
      <c r="F5">
        <v>0</v>
      </c>
    </row>
    <row r="6" spans="1:6" ht="15" customHeight="1" x14ac:dyDescent="0.25">
      <c r="A6" t="s">
        <v>7</v>
      </c>
      <c r="B6">
        <v>2</v>
      </c>
      <c r="C6">
        <v>1</v>
      </c>
      <c r="D6" s="2" t="b">
        <v>1</v>
      </c>
      <c r="E6" s="2" t="b">
        <v>1</v>
      </c>
      <c r="F6">
        <v>0</v>
      </c>
    </row>
    <row r="7" spans="1:6" ht="15" customHeight="1" x14ac:dyDescent="0.25">
      <c r="A7" t="s">
        <v>7</v>
      </c>
      <c r="B7">
        <v>3</v>
      </c>
      <c r="C7">
        <v>1</v>
      </c>
      <c r="D7" s="2" t="b">
        <v>1</v>
      </c>
      <c r="E7" s="2" t="b">
        <v>1</v>
      </c>
      <c r="F7">
        <v>0</v>
      </c>
    </row>
    <row r="8" spans="1:6" ht="15" customHeight="1" x14ac:dyDescent="0.25">
      <c r="A8" t="s">
        <v>8</v>
      </c>
      <c r="B8">
        <v>1</v>
      </c>
      <c r="C8">
        <v>1</v>
      </c>
      <c r="D8" s="2" t="b">
        <v>1</v>
      </c>
      <c r="E8" s="2" t="b">
        <v>1</v>
      </c>
      <c r="F8">
        <v>0</v>
      </c>
    </row>
    <row r="9" spans="1:6" ht="15" customHeight="1" x14ac:dyDescent="0.25">
      <c r="A9" t="s">
        <v>8</v>
      </c>
      <c r="B9">
        <v>2</v>
      </c>
      <c r="C9">
        <v>1</v>
      </c>
      <c r="D9" s="2" t="b">
        <v>1</v>
      </c>
      <c r="E9" s="2" t="b">
        <v>1</v>
      </c>
      <c r="F9">
        <v>0</v>
      </c>
    </row>
    <row r="10" spans="1:6" ht="15" customHeight="1" x14ac:dyDescent="0.25">
      <c r="A10" t="s">
        <v>8</v>
      </c>
      <c r="B10">
        <v>3</v>
      </c>
      <c r="C10">
        <v>1</v>
      </c>
      <c r="D10" s="2" t="b">
        <v>1</v>
      </c>
      <c r="E10" s="2" t="b">
        <v>1</v>
      </c>
      <c r="F10">
        <v>0</v>
      </c>
    </row>
    <row r="11" spans="1:6" ht="15" customHeight="1" x14ac:dyDescent="0.25">
      <c r="A11" t="s">
        <v>9</v>
      </c>
      <c r="B11">
        <v>1</v>
      </c>
      <c r="C11">
        <v>0.9</v>
      </c>
      <c r="D11" s="2" t="b">
        <v>0</v>
      </c>
      <c r="E11" s="2" t="b">
        <v>1</v>
      </c>
      <c r="F11">
        <v>0.3</v>
      </c>
    </row>
    <row r="12" spans="1:6" ht="15" customHeight="1" x14ac:dyDescent="0.25">
      <c r="A12" s="1" t="s">
        <v>9</v>
      </c>
      <c r="B12">
        <v>2</v>
      </c>
      <c r="C12">
        <v>1</v>
      </c>
      <c r="D12" s="2" t="b">
        <v>1</v>
      </c>
      <c r="E12" s="2" t="b">
        <v>1</v>
      </c>
      <c r="F12">
        <v>0</v>
      </c>
    </row>
    <row r="13" spans="1:6" ht="15" customHeight="1" x14ac:dyDescent="0.25">
      <c r="A13" t="s">
        <v>9</v>
      </c>
      <c r="B13">
        <v>3</v>
      </c>
      <c r="C13">
        <v>0.95</v>
      </c>
      <c r="D13" s="2" t="b">
        <v>0</v>
      </c>
      <c r="E13" s="2" t="b">
        <v>1</v>
      </c>
      <c r="F13">
        <v>0.21794494717703369</v>
      </c>
    </row>
    <row r="14" spans="1:6" ht="15" customHeight="1" x14ac:dyDescent="0.25">
      <c r="A14" t="s">
        <v>10</v>
      </c>
      <c r="B14">
        <v>1</v>
      </c>
      <c r="C14">
        <v>1</v>
      </c>
      <c r="D14" s="2" t="b">
        <v>1</v>
      </c>
      <c r="E14" s="2" t="b">
        <v>1</v>
      </c>
      <c r="F14">
        <v>0</v>
      </c>
    </row>
    <row r="15" spans="1:6" ht="15" customHeight="1" x14ac:dyDescent="0.25">
      <c r="A15" t="s">
        <v>10</v>
      </c>
      <c r="B15">
        <v>2</v>
      </c>
      <c r="C15">
        <v>1</v>
      </c>
      <c r="D15" s="2" t="b">
        <v>1</v>
      </c>
      <c r="E15" s="2" t="b">
        <v>1</v>
      </c>
      <c r="F15">
        <v>0</v>
      </c>
    </row>
    <row r="16" spans="1:6" ht="15" customHeight="1" x14ac:dyDescent="0.25">
      <c r="A16" t="s">
        <v>10</v>
      </c>
      <c r="B16">
        <v>3</v>
      </c>
      <c r="C16">
        <v>1</v>
      </c>
      <c r="D16" s="2" t="b">
        <v>1</v>
      </c>
      <c r="E16" s="2" t="b">
        <v>1</v>
      </c>
      <c r="F16">
        <v>0</v>
      </c>
    </row>
    <row r="17" spans="1:6" ht="15" customHeight="1" x14ac:dyDescent="0.25">
      <c r="A17" t="s">
        <v>11</v>
      </c>
      <c r="B17">
        <v>1</v>
      </c>
      <c r="C17">
        <v>1</v>
      </c>
      <c r="D17" s="2" t="b">
        <v>1</v>
      </c>
      <c r="E17" s="2" t="b">
        <v>1</v>
      </c>
      <c r="F17">
        <v>0</v>
      </c>
    </row>
    <row r="18" spans="1:6" ht="15" customHeight="1" x14ac:dyDescent="0.25">
      <c r="A18" t="s">
        <v>11</v>
      </c>
      <c r="B18">
        <v>2</v>
      </c>
      <c r="C18">
        <v>0.85</v>
      </c>
      <c r="D18" s="2" t="b">
        <v>0</v>
      </c>
      <c r="E18" s="2" t="b">
        <v>1</v>
      </c>
      <c r="F18">
        <v>0.35707142142714249</v>
      </c>
    </row>
    <row r="19" spans="1:6" ht="15" customHeight="1" x14ac:dyDescent="0.25">
      <c r="A19" t="s">
        <v>11</v>
      </c>
      <c r="B19">
        <v>3</v>
      </c>
      <c r="C19">
        <v>1</v>
      </c>
      <c r="D19" s="2" t="b">
        <v>1</v>
      </c>
      <c r="E19" s="2" t="b">
        <v>1</v>
      </c>
      <c r="F19">
        <v>0</v>
      </c>
    </row>
    <row r="20" spans="1:6" ht="15" customHeight="1" x14ac:dyDescent="0.25">
      <c r="A20" s="1" t="s">
        <v>12</v>
      </c>
      <c r="B20">
        <v>1</v>
      </c>
      <c r="C20">
        <v>1</v>
      </c>
      <c r="D20" s="2" t="b">
        <v>1</v>
      </c>
      <c r="E20" s="2" t="b">
        <v>1</v>
      </c>
      <c r="F20">
        <v>0</v>
      </c>
    </row>
    <row r="21" spans="1:6" ht="15" customHeight="1" x14ac:dyDescent="0.25">
      <c r="A21" t="s">
        <v>12</v>
      </c>
      <c r="B21">
        <v>2</v>
      </c>
      <c r="C21">
        <v>1</v>
      </c>
      <c r="D21" s="2" t="b">
        <v>1</v>
      </c>
      <c r="E21" s="2" t="b">
        <v>1</v>
      </c>
      <c r="F21">
        <v>0</v>
      </c>
    </row>
    <row r="22" spans="1:6" ht="15" customHeight="1" x14ac:dyDescent="0.25">
      <c r="A22" t="s">
        <v>12</v>
      </c>
      <c r="B22">
        <v>3</v>
      </c>
      <c r="C22">
        <v>1</v>
      </c>
      <c r="D22" s="2" t="b">
        <v>1</v>
      </c>
      <c r="E22" s="2" t="b">
        <v>1</v>
      </c>
      <c r="F22">
        <v>0</v>
      </c>
    </row>
    <row r="23" spans="1:6" ht="15" customHeight="1" x14ac:dyDescent="0.25">
      <c r="A23" s="1" t="s">
        <v>13</v>
      </c>
      <c r="B23">
        <v>1</v>
      </c>
      <c r="C23">
        <v>0.9</v>
      </c>
      <c r="D23" s="2" t="b">
        <v>0</v>
      </c>
      <c r="E23" s="2" t="b">
        <v>1</v>
      </c>
      <c r="F23">
        <v>0.3</v>
      </c>
    </row>
    <row r="24" spans="1:6" ht="15" customHeight="1" x14ac:dyDescent="0.25">
      <c r="A24" t="s">
        <v>13</v>
      </c>
      <c r="B24">
        <v>2</v>
      </c>
      <c r="C24">
        <v>0.65</v>
      </c>
      <c r="D24" s="2" t="b">
        <v>0</v>
      </c>
      <c r="E24" s="2" t="b">
        <v>1</v>
      </c>
      <c r="F24">
        <v>0.47696960070847277</v>
      </c>
    </row>
    <row r="25" spans="1:6" ht="15" customHeight="1" x14ac:dyDescent="0.25">
      <c r="A25" t="s">
        <v>13</v>
      </c>
      <c r="B25">
        <v>3</v>
      </c>
      <c r="C25">
        <v>1</v>
      </c>
      <c r="D25" s="2" t="b">
        <v>1</v>
      </c>
      <c r="E25" s="2" t="b">
        <v>1</v>
      </c>
      <c r="F25">
        <v>0</v>
      </c>
    </row>
    <row r="26" spans="1:6" ht="15" customHeight="1" x14ac:dyDescent="0.25">
      <c r="D26" s="2"/>
      <c r="E26" s="2"/>
    </row>
    <row r="27" spans="1:6" ht="15" customHeight="1" x14ac:dyDescent="0.25">
      <c r="D27" s="2"/>
      <c r="E27" s="2"/>
    </row>
    <row r="28" spans="1:6" ht="15" customHeight="1" x14ac:dyDescent="0.25">
      <c r="A28" s="4" t="s">
        <v>14</v>
      </c>
      <c r="D28" s="2"/>
      <c r="E28" s="2"/>
    </row>
    <row r="29" spans="1:6" ht="15" customHeight="1" x14ac:dyDescent="0.25">
      <c r="A29" t="s">
        <v>6</v>
      </c>
      <c r="C29">
        <v>1</v>
      </c>
      <c r="D29" s="2" t="b">
        <v>1</v>
      </c>
      <c r="E29" s="2" t="b">
        <v>1</v>
      </c>
      <c r="F29">
        <v>0</v>
      </c>
    </row>
    <row r="30" spans="1:6" ht="15" customHeight="1" x14ac:dyDescent="0.25">
      <c r="A30" t="s">
        <v>7</v>
      </c>
      <c r="C30">
        <v>1</v>
      </c>
      <c r="D30" s="2" t="b">
        <v>1</v>
      </c>
      <c r="E30" s="2" t="b">
        <v>1</v>
      </c>
      <c r="F30">
        <v>0</v>
      </c>
    </row>
    <row r="31" spans="1:6" ht="15" customHeight="1" x14ac:dyDescent="0.25">
      <c r="A31" s="1" t="s">
        <v>8</v>
      </c>
      <c r="C31">
        <v>1</v>
      </c>
      <c r="D31" s="2" t="b">
        <v>1</v>
      </c>
      <c r="E31" s="2" t="b">
        <v>1</v>
      </c>
      <c r="F31">
        <v>0</v>
      </c>
    </row>
    <row r="32" spans="1:6" ht="15" customHeight="1" x14ac:dyDescent="0.25">
      <c r="A32" t="s">
        <v>9</v>
      </c>
      <c r="C32">
        <v>0.95</v>
      </c>
      <c r="D32" s="2" t="b">
        <v>0</v>
      </c>
      <c r="E32" s="2" t="b">
        <v>1</v>
      </c>
      <c r="F32">
        <v>0.21794494717703369</v>
      </c>
    </row>
    <row r="33" spans="1:11" ht="15" customHeight="1" x14ac:dyDescent="0.25">
      <c r="A33" t="s">
        <v>10</v>
      </c>
      <c r="C33">
        <v>1</v>
      </c>
      <c r="D33" s="2" t="b">
        <v>1</v>
      </c>
      <c r="E33" s="2" t="b">
        <v>1</v>
      </c>
      <c r="F33">
        <v>0</v>
      </c>
    </row>
    <row r="34" spans="1:11" ht="15" customHeight="1" x14ac:dyDescent="0.25">
      <c r="A34" t="s">
        <v>11</v>
      </c>
      <c r="C34">
        <v>0.95</v>
      </c>
      <c r="D34" s="2" t="b">
        <v>0</v>
      </c>
      <c r="E34" s="2" t="b">
        <v>1</v>
      </c>
      <c r="F34">
        <v>0.21794494717703369</v>
      </c>
    </row>
    <row r="35" spans="1:11" ht="15" customHeight="1" x14ac:dyDescent="0.25">
      <c r="A35" s="1" t="s">
        <v>12</v>
      </c>
      <c r="C35">
        <v>1</v>
      </c>
      <c r="D35" s="2" t="b">
        <v>1</v>
      </c>
      <c r="E35" s="2" t="b">
        <v>1</v>
      </c>
      <c r="F35">
        <v>0</v>
      </c>
    </row>
    <row r="36" spans="1:11" ht="15" customHeight="1" x14ac:dyDescent="0.25">
      <c r="A36" s="1" t="s">
        <v>13</v>
      </c>
      <c r="C36">
        <v>0.85</v>
      </c>
      <c r="D36" s="2" t="b">
        <v>0</v>
      </c>
      <c r="E36" s="2" t="b">
        <v>1</v>
      </c>
      <c r="F36">
        <v>0.35707142142714249</v>
      </c>
    </row>
    <row r="37" spans="1:11" ht="15" customHeight="1" x14ac:dyDescent="0.25">
      <c r="D37" s="2"/>
      <c r="E37" s="2"/>
      <c r="F37" s="2"/>
      <c r="G37" s="2"/>
      <c r="H37" s="2"/>
      <c r="I37" s="2"/>
      <c r="J37" s="2"/>
      <c r="K37" s="2"/>
    </row>
    <row r="38" spans="1:11" ht="15" customHeight="1" x14ac:dyDescent="0.25">
      <c r="D38" s="2"/>
      <c r="E38" s="2"/>
      <c r="F38" s="2"/>
      <c r="G38" s="2"/>
      <c r="H38" s="2"/>
      <c r="I38" s="2"/>
      <c r="J38" s="2"/>
      <c r="K38" s="2"/>
    </row>
    <row r="39" spans="1:11" ht="15" customHeight="1" x14ac:dyDescent="0.25">
      <c r="A39" s="4" t="s">
        <v>15</v>
      </c>
      <c r="D39" s="2"/>
      <c r="E39" s="2"/>
      <c r="F39" s="2"/>
      <c r="G39" s="2"/>
      <c r="H39" s="2"/>
      <c r="I39" s="2"/>
      <c r="J39" s="2"/>
      <c r="K39" s="2"/>
    </row>
    <row r="40" spans="1:11" ht="15" customHeight="1" x14ac:dyDescent="0.25">
      <c r="A40" t="s">
        <v>16</v>
      </c>
      <c r="B40">
        <v>1</v>
      </c>
      <c r="C40">
        <v>2</v>
      </c>
      <c r="D40">
        <v>3</v>
      </c>
      <c r="E40" s="2"/>
      <c r="F40" s="2"/>
      <c r="G40" s="2"/>
      <c r="H40" s="2"/>
      <c r="I40" s="2"/>
      <c r="J40" s="2"/>
      <c r="K40" s="2"/>
    </row>
    <row r="41" spans="1:11" ht="15" customHeight="1" x14ac:dyDescent="0.25">
      <c r="A41" t="s">
        <v>6</v>
      </c>
      <c r="B41">
        <v>1</v>
      </c>
      <c r="C41">
        <v>1</v>
      </c>
      <c r="D41">
        <v>1</v>
      </c>
      <c r="E41" s="2"/>
      <c r="F41" s="2"/>
      <c r="G41" s="2"/>
      <c r="H41" s="2"/>
      <c r="I41" s="2"/>
      <c r="J41" s="2"/>
      <c r="K41" s="2"/>
    </row>
    <row r="42" spans="1:11" ht="15" customHeight="1" x14ac:dyDescent="0.25">
      <c r="A42" t="s">
        <v>7</v>
      </c>
      <c r="B42">
        <v>1</v>
      </c>
      <c r="C42">
        <v>1</v>
      </c>
      <c r="D42">
        <v>1</v>
      </c>
      <c r="E42" s="2"/>
      <c r="F42" s="2"/>
      <c r="G42" s="2"/>
      <c r="H42" s="2"/>
      <c r="I42" s="2"/>
      <c r="J42" s="2"/>
      <c r="K42" s="2"/>
    </row>
    <row r="43" spans="1:11" ht="15" customHeight="1" x14ac:dyDescent="0.25">
      <c r="A43" s="1" t="s">
        <v>8</v>
      </c>
      <c r="B43">
        <v>1</v>
      </c>
      <c r="C43">
        <v>1</v>
      </c>
      <c r="D43">
        <v>1</v>
      </c>
      <c r="E43" s="2"/>
      <c r="F43" s="2"/>
      <c r="G43" s="2"/>
      <c r="H43" s="2"/>
      <c r="I43" s="2"/>
      <c r="J43" s="2"/>
      <c r="K43" s="2"/>
    </row>
    <row r="44" spans="1:11" x14ac:dyDescent="0.25">
      <c r="A44" t="s">
        <v>9</v>
      </c>
      <c r="B44">
        <v>0.9</v>
      </c>
      <c r="C44">
        <v>1</v>
      </c>
      <c r="D44">
        <v>0.95</v>
      </c>
    </row>
    <row r="45" spans="1:11" ht="15" customHeight="1" x14ac:dyDescent="0.25">
      <c r="A45" t="s">
        <v>10</v>
      </c>
      <c r="B45">
        <v>1</v>
      </c>
      <c r="C45">
        <v>1</v>
      </c>
      <c r="D45">
        <v>1</v>
      </c>
      <c r="E45" s="2"/>
      <c r="F45" s="2"/>
      <c r="G45" s="2"/>
      <c r="H45" s="2"/>
      <c r="I45" s="2"/>
      <c r="J45" s="2"/>
      <c r="K45" s="2"/>
    </row>
    <row r="46" spans="1:11" ht="15" customHeight="1" x14ac:dyDescent="0.25">
      <c r="A46" t="s">
        <v>11</v>
      </c>
      <c r="B46">
        <v>1</v>
      </c>
      <c r="C46">
        <v>0.85</v>
      </c>
      <c r="D46">
        <v>1</v>
      </c>
      <c r="E46" s="2"/>
      <c r="F46" s="2"/>
      <c r="G46" s="2"/>
      <c r="H46" s="2"/>
      <c r="I46" s="2"/>
      <c r="J46" s="2"/>
      <c r="K46" s="2"/>
    </row>
    <row r="47" spans="1:11" ht="15" customHeight="1" x14ac:dyDescent="0.25">
      <c r="A47" s="1" t="s">
        <v>12</v>
      </c>
      <c r="B47">
        <v>1</v>
      </c>
      <c r="C47">
        <v>1</v>
      </c>
      <c r="D47">
        <v>1</v>
      </c>
      <c r="E47" s="2"/>
      <c r="F47" s="2"/>
      <c r="G47" s="2"/>
      <c r="H47" s="2"/>
      <c r="I47" s="2"/>
      <c r="J47" s="2"/>
      <c r="K47" s="2"/>
    </row>
    <row r="48" spans="1:11" ht="15" customHeight="1" x14ac:dyDescent="0.25">
      <c r="A48" t="s">
        <v>13</v>
      </c>
      <c r="B48">
        <v>0.9</v>
      </c>
      <c r="C48">
        <v>0.65</v>
      </c>
      <c r="D48">
        <v>1</v>
      </c>
      <c r="E48" s="2"/>
      <c r="F48" s="2"/>
      <c r="G48" s="2"/>
      <c r="H48" s="2"/>
      <c r="I48" s="2"/>
      <c r="J48" s="2"/>
      <c r="K48" s="2"/>
    </row>
    <row r="49" spans="1:61" ht="15" customHeight="1" x14ac:dyDescent="0.25"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61" ht="15" customHeight="1" x14ac:dyDescent="0.25"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61" ht="15" customHeight="1" x14ac:dyDescent="0.25">
      <c r="A51" s="4" t="s">
        <v>17</v>
      </c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61" x14ac:dyDescent="0.25">
      <c r="A52" t="s">
        <v>16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ht="15" customHeight="1" x14ac:dyDescent="0.25">
      <c r="A53" t="s">
        <v>6</v>
      </c>
      <c r="B53" s="2" t="b">
        <v>1</v>
      </c>
      <c r="C53" s="2" t="b">
        <v>1</v>
      </c>
      <c r="D53" s="2" t="b">
        <v>1</v>
      </c>
      <c r="E53" s="2" t="b">
        <v>1</v>
      </c>
      <c r="F53" s="2" t="b">
        <v>1</v>
      </c>
      <c r="G53" s="2" t="b">
        <v>1</v>
      </c>
      <c r="H53" s="2" t="b">
        <v>1</v>
      </c>
      <c r="I53" s="2" t="b">
        <v>1</v>
      </c>
      <c r="J53" s="2" t="b">
        <v>1</v>
      </c>
      <c r="K53" s="2" t="b">
        <v>1</v>
      </c>
      <c r="L53" s="2" t="b">
        <v>1</v>
      </c>
      <c r="M53" s="2" t="b">
        <v>1</v>
      </c>
      <c r="N53" s="2" t="b">
        <v>1</v>
      </c>
      <c r="O53" s="2" t="b">
        <v>1</v>
      </c>
      <c r="P53" s="2" t="b">
        <v>1</v>
      </c>
      <c r="Q53" s="2" t="b">
        <v>1</v>
      </c>
      <c r="R53" s="2" t="b">
        <v>1</v>
      </c>
      <c r="S53" s="2" t="b">
        <v>1</v>
      </c>
      <c r="T53" s="2" t="b">
        <v>1</v>
      </c>
      <c r="U53" s="2" t="b">
        <v>1</v>
      </c>
      <c r="V53" s="2" t="b">
        <v>1</v>
      </c>
      <c r="W53" s="2" t="b">
        <v>1</v>
      </c>
      <c r="X53" s="2" t="b">
        <v>1</v>
      </c>
      <c r="Y53" s="2" t="b">
        <v>1</v>
      </c>
      <c r="Z53" s="2" t="b">
        <v>1</v>
      </c>
      <c r="AA53" s="2" t="b">
        <v>1</v>
      </c>
      <c r="AB53" s="2" t="b">
        <v>1</v>
      </c>
      <c r="AC53" s="2" t="b">
        <v>1</v>
      </c>
      <c r="AD53" s="2" t="b">
        <v>1</v>
      </c>
      <c r="AE53" s="2" t="b">
        <v>1</v>
      </c>
      <c r="AF53" s="2" t="b">
        <v>1</v>
      </c>
      <c r="AG53" s="2" t="b">
        <v>1</v>
      </c>
      <c r="AH53" s="2" t="b">
        <v>1</v>
      </c>
      <c r="AI53" s="2" t="b">
        <v>1</v>
      </c>
      <c r="AJ53" s="2" t="b">
        <v>1</v>
      </c>
      <c r="AK53" s="2" t="b">
        <v>1</v>
      </c>
      <c r="AL53" s="2" t="b">
        <v>1</v>
      </c>
      <c r="AM53" s="2" t="b">
        <v>1</v>
      </c>
      <c r="AN53" s="2" t="b">
        <v>1</v>
      </c>
      <c r="AO53" s="2" t="b">
        <v>1</v>
      </c>
      <c r="AP53" s="2" t="b">
        <v>1</v>
      </c>
      <c r="AQ53" s="2" t="b">
        <v>1</v>
      </c>
      <c r="AR53" s="2" t="b">
        <v>1</v>
      </c>
      <c r="AS53" s="2" t="b">
        <v>1</v>
      </c>
      <c r="AT53" s="2" t="b">
        <v>1</v>
      </c>
      <c r="AU53" s="2" t="b">
        <v>1</v>
      </c>
      <c r="AV53" s="2" t="b">
        <v>1</v>
      </c>
      <c r="AW53" s="2" t="b">
        <v>1</v>
      </c>
      <c r="AX53" s="2" t="b">
        <v>1</v>
      </c>
      <c r="AY53" s="2" t="b">
        <v>1</v>
      </c>
      <c r="AZ53" s="2" t="b">
        <v>1</v>
      </c>
      <c r="BA53" s="2" t="b">
        <v>1</v>
      </c>
      <c r="BB53" s="2" t="b">
        <v>1</v>
      </c>
      <c r="BC53" s="2" t="b">
        <v>1</v>
      </c>
      <c r="BD53" s="2" t="b">
        <v>1</v>
      </c>
      <c r="BE53" s="2" t="b">
        <v>1</v>
      </c>
      <c r="BF53" s="2" t="b">
        <v>1</v>
      </c>
      <c r="BG53" s="2" t="b">
        <v>1</v>
      </c>
      <c r="BH53" s="2" t="b">
        <v>1</v>
      </c>
      <c r="BI53" s="2" t="b">
        <v>1</v>
      </c>
    </row>
    <row r="54" spans="1:61" ht="15" customHeight="1" x14ac:dyDescent="0.25">
      <c r="A54" t="s">
        <v>7</v>
      </c>
      <c r="B54" s="2" t="b">
        <v>1</v>
      </c>
      <c r="C54" s="2" t="b">
        <v>1</v>
      </c>
      <c r="D54" s="2" t="b">
        <v>1</v>
      </c>
      <c r="E54" s="2" t="b">
        <v>1</v>
      </c>
      <c r="F54" s="2" t="b">
        <v>1</v>
      </c>
      <c r="G54" s="2" t="b">
        <v>1</v>
      </c>
      <c r="H54" s="2" t="b">
        <v>1</v>
      </c>
      <c r="I54" s="2" t="b">
        <v>1</v>
      </c>
      <c r="J54" s="2" t="b">
        <v>1</v>
      </c>
      <c r="K54" s="2" t="b">
        <v>1</v>
      </c>
      <c r="L54" s="2" t="b">
        <v>1</v>
      </c>
      <c r="M54" s="2" t="b">
        <v>1</v>
      </c>
      <c r="N54" s="2" t="b">
        <v>1</v>
      </c>
      <c r="O54" s="2" t="b">
        <v>1</v>
      </c>
      <c r="P54" s="2" t="b">
        <v>1</v>
      </c>
      <c r="Q54" s="2" t="b">
        <v>1</v>
      </c>
      <c r="R54" s="2" t="b">
        <v>1</v>
      </c>
      <c r="S54" s="2" t="b">
        <v>1</v>
      </c>
      <c r="T54" s="2" t="b">
        <v>1</v>
      </c>
      <c r="U54" s="2" t="b">
        <v>1</v>
      </c>
      <c r="V54" s="2" t="b">
        <v>1</v>
      </c>
      <c r="W54" s="2" t="b">
        <v>1</v>
      </c>
      <c r="X54" s="2" t="b">
        <v>1</v>
      </c>
      <c r="Y54" s="2" t="b">
        <v>1</v>
      </c>
      <c r="Z54" s="2" t="b">
        <v>1</v>
      </c>
      <c r="AA54" s="2" t="b">
        <v>1</v>
      </c>
      <c r="AB54" s="2" t="b">
        <v>1</v>
      </c>
      <c r="AC54" s="2" t="b">
        <v>1</v>
      </c>
      <c r="AD54" s="2" t="b">
        <v>1</v>
      </c>
      <c r="AE54" s="2" t="b">
        <v>1</v>
      </c>
      <c r="AF54" s="2" t="b">
        <v>1</v>
      </c>
      <c r="AG54" s="2" t="b">
        <v>1</v>
      </c>
      <c r="AH54" s="2" t="b">
        <v>1</v>
      </c>
      <c r="AI54" s="2" t="b">
        <v>1</v>
      </c>
      <c r="AJ54" s="2" t="b">
        <v>1</v>
      </c>
      <c r="AK54" s="2" t="b">
        <v>1</v>
      </c>
      <c r="AL54" s="2" t="b">
        <v>1</v>
      </c>
      <c r="AM54" s="2" t="b">
        <v>1</v>
      </c>
      <c r="AN54" s="2" t="b">
        <v>1</v>
      </c>
      <c r="AO54" s="2" t="b">
        <v>1</v>
      </c>
      <c r="AP54" s="2" t="b">
        <v>1</v>
      </c>
      <c r="AQ54" s="2" t="b">
        <v>1</v>
      </c>
      <c r="AR54" s="2" t="b">
        <v>1</v>
      </c>
      <c r="AS54" s="2" t="b">
        <v>1</v>
      </c>
      <c r="AT54" s="2" t="b">
        <v>1</v>
      </c>
      <c r="AU54" s="2" t="b">
        <v>1</v>
      </c>
      <c r="AV54" s="2" t="b">
        <v>1</v>
      </c>
      <c r="AW54" s="2" t="b">
        <v>1</v>
      </c>
      <c r="AX54" s="2" t="b">
        <v>1</v>
      </c>
      <c r="AY54" s="2" t="b">
        <v>1</v>
      </c>
      <c r="AZ54" s="2" t="b">
        <v>1</v>
      </c>
      <c r="BA54" s="2" t="b">
        <v>1</v>
      </c>
      <c r="BB54" s="2" t="b">
        <v>1</v>
      </c>
      <c r="BC54" s="2" t="b">
        <v>1</v>
      </c>
      <c r="BD54" s="2" t="b">
        <v>1</v>
      </c>
      <c r="BE54" s="2" t="b">
        <v>1</v>
      </c>
      <c r="BF54" s="2" t="b">
        <v>1</v>
      </c>
      <c r="BG54" s="2" t="b">
        <v>1</v>
      </c>
      <c r="BH54" s="2" t="b">
        <v>1</v>
      </c>
      <c r="BI54" s="2" t="b">
        <v>1</v>
      </c>
    </row>
    <row r="55" spans="1:61" ht="15" customHeight="1" x14ac:dyDescent="0.25">
      <c r="A55" t="s">
        <v>8</v>
      </c>
      <c r="B55" s="2" t="b">
        <v>1</v>
      </c>
      <c r="C55" s="2" t="b">
        <v>1</v>
      </c>
      <c r="D55" s="2" t="b">
        <v>1</v>
      </c>
      <c r="E55" s="2" t="b">
        <v>1</v>
      </c>
      <c r="F55" s="2" t="b">
        <v>1</v>
      </c>
      <c r="G55" s="2" t="b">
        <v>1</v>
      </c>
      <c r="H55" s="2" t="b">
        <v>1</v>
      </c>
      <c r="I55" s="2" t="b">
        <v>1</v>
      </c>
      <c r="J55" s="2" t="b">
        <v>1</v>
      </c>
      <c r="K55" s="2" t="b">
        <v>1</v>
      </c>
      <c r="L55" s="2" t="b">
        <v>1</v>
      </c>
      <c r="M55" s="2" t="b">
        <v>1</v>
      </c>
      <c r="N55" s="2" t="b">
        <v>1</v>
      </c>
      <c r="O55" s="2" t="b">
        <v>1</v>
      </c>
      <c r="P55" s="2" t="b">
        <v>1</v>
      </c>
      <c r="Q55" s="2" t="b">
        <v>1</v>
      </c>
      <c r="R55" s="2" t="b">
        <v>1</v>
      </c>
      <c r="S55" s="2" t="b">
        <v>1</v>
      </c>
      <c r="T55" s="2" t="b">
        <v>1</v>
      </c>
      <c r="U55" s="2" t="b">
        <v>1</v>
      </c>
      <c r="V55" s="2" t="b">
        <v>1</v>
      </c>
      <c r="W55" s="2" t="b">
        <v>1</v>
      </c>
      <c r="X55" s="2" t="b">
        <v>1</v>
      </c>
      <c r="Y55" s="2" t="b">
        <v>1</v>
      </c>
      <c r="Z55" s="2" t="b">
        <v>1</v>
      </c>
      <c r="AA55" s="2" t="b">
        <v>1</v>
      </c>
      <c r="AB55" s="2" t="b">
        <v>1</v>
      </c>
      <c r="AC55" s="2" t="b">
        <v>1</v>
      </c>
      <c r="AD55" s="2" t="b">
        <v>1</v>
      </c>
      <c r="AE55" s="2" t="b">
        <v>1</v>
      </c>
      <c r="AF55" s="2" t="b">
        <v>1</v>
      </c>
      <c r="AG55" s="2" t="b">
        <v>1</v>
      </c>
      <c r="AH55" s="2" t="b">
        <v>1</v>
      </c>
      <c r="AI55" s="2" t="b">
        <v>1</v>
      </c>
      <c r="AJ55" s="2" t="b">
        <v>1</v>
      </c>
      <c r="AK55" s="2" t="b">
        <v>1</v>
      </c>
      <c r="AL55" s="2" t="b">
        <v>1</v>
      </c>
      <c r="AM55" s="2" t="b">
        <v>1</v>
      </c>
      <c r="AN55" s="2" t="b">
        <v>1</v>
      </c>
      <c r="AO55" s="2" t="b">
        <v>1</v>
      </c>
      <c r="AP55" s="2" t="b">
        <v>1</v>
      </c>
      <c r="AQ55" s="2" t="b">
        <v>1</v>
      </c>
      <c r="AR55" s="2" t="b">
        <v>1</v>
      </c>
      <c r="AS55" s="2" t="b">
        <v>1</v>
      </c>
      <c r="AT55" s="2" t="b">
        <v>1</v>
      </c>
      <c r="AU55" s="2" t="b">
        <v>1</v>
      </c>
      <c r="AV55" s="2" t="b">
        <v>1</v>
      </c>
      <c r="AW55" s="2" t="b">
        <v>1</v>
      </c>
      <c r="AX55" s="2" t="b">
        <v>1</v>
      </c>
      <c r="AY55" s="2" t="b">
        <v>1</v>
      </c>
      <c r="AZ55" s="2" t="b">
        <v>1</v>
      </c>
      <c r="BA55" s="2" t="b">
        <v>1</v>
      </c>
      <c r="BB55" s="2" t="b">
        <v>1</v>
      </c>
      <c r="BC55" s="2" t="b">
        <v>1</v>
      </c>
      <c r="BD55" s="2" t="b">
        <v>1</v>
      </c>
      <c r="BE55" s="2" t="b">
        <v>1</v>
      </c>
      <c r="BF55" s="2" t="b">
        <v>1</v>
      </c>
      <c r="BG55" s="2" t="b">
        <v>1</v>
      </c>
      <c r="BH55" s="2" t="b">
        <v>1</v>
      </c>
      <c r="BI55" s="2" t="b">
        <v>1</v>
      </c>
    </row>
    <row r="56" spans="1:61" ht="15" customHeight="1" x14ac:dyDescent="0.25">
      <c r="A56" t="s">
        <v>9</v>
      </c>
      <c r="B56" s="2" t="b">
        <v>1</v>
      </c>
      <c r="C56" s="2" t="b">
        <v>1</v>
      </c>
      <c r="D56" s="2" t="b">
        <v>1</v>
      </c>
      <c r="E56" s="2" t="b">
        <v>1</v>
      </c>
      <c r="F56" s="2" t="b">
        <v>0</v>
      </c>
      <c r="G56" s="2" t="b">
        <v>1</v>
      </c>
      <c r="H56" s="2" t="b">
        <v>1</v>
      </c>
      <c r="I56" s="2" t="b">
        <v>1</v>
      </c>
      <c r="J56" s="2" t="b">
        <v>1</v>
      </c>
      <c r="K56" s="2" t="b">
        <v>1</v>
      </c>
      <c r="L56" s="2" t="b">
        <v>1</v>
      </c>
      <c r="M56" s="2" t="b">
        <v>1</v>
      </c>
      <c r="N56" s="2" t="b">
        <v>1</v>
      </c>
      <c r="O56" s="2" t="b">
        <v>1</v>
      </c>
      <c r="P56" s="2" t="b">
        <v>1</v>
      </c>
      <c r="Q56" s="2" t="b">
        <v>1</v>
      </c>
      <c r="R56" s="2" t="b">
        <v>1</v>
      </c>
      <c r="S56" s="2" t="b">
        <v>0</v>
      </c>
      <c r="T56" s="2" t="b">
        <v>1</v>
      </c>
      <c r="U56" s="2" t="b">
        <v>1</v>
      </c>
      <c r="V56" s="2" t="b">
        <v>1</v>
      </c>
      <c r="W56" s="2" t="b">
        <v>1</v>
      </c>
      <c r="X56" s="2" t="b">
        <v>1</v>
      </c>
      <c r="Y56" s="2" t="b">
        <v>1</v>
      </c>
      <c r="Z56" s="2" t="b">
        <v>1</v>
      </c>
      <c r="AA56" s="2" t="b">
        <v>1</v>
      </c>
      <c r="AB56" s="2" t="b">
        <v>1</v>
      </c>
      <c r="AC56" s="2" t="b">
        <v>1</v>
      </c>
      <c r="AD56" s="2" t="b">
        <v>1</v>
      </c>
      <c r="AE56" s="2" t="b">
        <v>1</v>
      </c>
      <c r="AF56" s="2" t="b">
        <v>1</v>
      </c>
      <c r="AG56" s="2" t="b">
        <v>1</v>
      </c>
      <c r="AH56" s="2" t="b">
        <v>1</v>
      </c>
      <c r="AI56" s="2" t="b">
        <v>1</v>
      </c>
      <c r="AJ56" s="2" t="b">
        <v>1</v>
      </c>
      <c r="AK56" s="2" t="b">
        <v>1</v>
      </c>
      <c r="AL56" s="2" t="b">
        <v>1</v>
      </c>
      <c r="AM56" s="2" t="b">
        <v>1</v>
      </c>
      <c r="AN56" s="2" t="b">
        <v>1</v>
      </c>
      <c r="AO56" s="2" t="b">
        <v>1</v>
      </c>
      <c r="AP56" s="2" t="b">
        <v>1</v>
      </c>
      <c r="AQ56" s="2" t="b">
        <v>1</v>
      </c>
      <c r="AR56" s="2" t="b">
        <v>1</v>
      </c>
      <c r="AS56" s="2" t="b">
        <v>1</v>
      </c>
      <c r="AT56" s="2" t="b">
        <v>1</v>
      </c>
      <c r="AU56" s="2" t="b">
        <v>1</v>
      </c>
      <c r="AV56" s="2" t="b">
        <v>0</v>
      </c>
      <c r="AW56" s="2" t="b">
        <v>1</v>
      </c>
      <c r="AX56" s="2" t="b">
        <v>1</v>
      </c>
      <c r="AY56" s="2" t="b">
        <v>1</v>
      </c>
      <c r="AZ56" s="2" t="b">
        <v>1</v>
      </c>
      <c r="BA56" s="2" t="b">
        <v>1</v>
      </c>
      <c r="BB56" s="2" t="b">
        <v>1</v>
      </c>
      <c r="BC56" s="2" t="b">
        <v>1</v>
      </c>
      <c r="BD56" s="2" t="b">
        <v>1</v>
      </c>
      <c r="BE56" s="2" t="b">
        <v>1</v>
      </c>
      <c r="BF56" s="2" t="b">
        <v>1</v>
      </c>
      <c r="BG56" s="2" t="b">
        <v>1</v>
      </c>
      <c r="BH56" s="2" t="b">
        <v>1</v>
      </c>
      <c r="BI56" s="2" t="b">
        <v>1</v>
      </c>
    </row>
    <row r="57" spans="1:61" ht="15" customHeight="1" x14ac:dyDescent="0.25">
      <c r="A57" t="s">
        <v>10</v>
      </c>
      <c r="B57" s="2" t="b">
        <v>1</v>
      </c>
      <c r="C57" s="2" t="b">
        <v>1</v>
      </c>
      <c r="D57" s="2" t="b">
        <v>1</v>
      </c>
      <c r="E57" s="2" t="b">
        <v>1</v>
      </c>
      <c r="F57" s="2" t="b">
        <v>1</v>
      </c>
      <c r="G57" s="2" t="b">
        <v>1</v>
      </c>
      <c r="H57" s="2" t="b">
        <v>1</v>
      </c>
      <c r="I57" s="2" t="b">
        <v>1</v>
      </c>
      <c r="J57" s="2" t="b">
        <v>1</v>
      </c>
      <c r="K57" s="2" t="b">
        <v>1</v>
      </c>
      <c r="L57" s="2" t="b">
        <v>1</v>
      </c>
      <c r="M57" s="2" t="b">
        <v>1</v>
      </c>
      <c r="N57" s="2" t="b">
        <v>1</v>
      </c>
      <c r="O57" s="2" t="b">
        <v>1</v>
      </c>
      <c r="P57" s="2" t="b">
        <v>1</v>
      </c>
      <c r="Q57" s="2" t="b">
        <v>1</v>
      </c>
      <c r="R57" s="2" t="b">
        <v>1</v>
      </c>
      <c r="S57" s="2" t="b">
        <v>1</v>
      </c>
      <c r="T57" s="2" t="b">
        <v>1</v>
      </c>
      <c r="U57" s="2" t="b">
        <v>1</v>
      </c>
      <c r="V57" s="2" t="b">
        <v>1</v>
      </c>
      <c r="W57" s="2" t="b">
        <v>1</v>
      </c>
      <c r="X57" s="2" t="b">
        <v>1</v>
      </c>
      <c r="Y57" s="2" t="b">
        <v>1</v>
      </c>
      <c r="Z57" s="2" t="b">
        <v>1</v>
      </c>
      <c r="AA57" s="2" t="b">
        <v>1</v>
      </c>
      <c r="AB57" s="2" t="b">
        <v>1</v>
      </c>
      <c r="AC57" s="2" t="b">
        <v>1</v>
      </c>
      <c r="AD57" s="2" t="b">
        <v>1</v>
      </c>
      <c r="AE57" s="2" t="b">
        <v>1</v>
      </c>
      <c r="AF57" s="2" t="b">
        <v>1</v>
      </c>
      <c r="AG57" s="2" t="b">
        <v>1</v>
      </c>
      <c r="AH57" s="2" t="b">
        <v>1</v>
      </c>
      <c r="AI57" s="2" t="b">
        <v>1</v>
      </c>
      <c r="AJ57" s="2" t="b">
        <v>1</v>
      </c>
      <c r="AK57" s="2" t="b">
        <v>1</v>
      </c>
      <c r="AL57" s="2" t="b">
        <v>1</v>
      </c>
      <c r="AM57" s="2" t="b">
        <v>1</v>
      </c>
      <c r="AN57" s="2" t="b">
        <v>1</v>
      </c>
      <c r="AO57" s="2" t="b">
        <v>1</v>
      </c>
      <c r="AP57" s="2" t="b">
        <v>1</v>
      </c>
      <c r="AQ57" s="2" t="b">
        <v>1</v>
      </c>
      <c r="AR57" s="2" t="b">
        <v>1</v>
      </c>
      <c r="AS57" s="2" t="b">
        <v>1</v>
      </c>
      <c r="AT57" s="2" t="b">
        <v>1</v>
      </c>
      <c r="AU57" s="2" t="b">
        <v>1</v>
      </c>
      <c r="AV57" s="2" t="b">
        <v>1</v>
      </c>
      <c r="AW57" s="2" t="b">
        <v>1</v>
      </c>
      <c r="AX57" s="2" t="b">
        <v>1</v>
      </c>
      <c r="AY57" s="2" t="b">
        <v>1</v>
      </c>
      <c r="AZ57" s="2" t="b">
        <v>1</v>
      </c>
      <c r="BA57" s="2" t="b">
        <v>1</v>
      </c>
      <c r="BB57" s="2" t="b">
        <v>1</v>
      </c>
      <c r="BC57" s="2" t="b">
        <v>1</v>
      </c>
      <c r="BD57" s="2" t="b">
        <v>1</v>
      </c>
      <c r="BE57" s="2" t="b">
        <v>1</v>
      </c>
      <c r="BF57" s="2" t="b">
        <v>1</v>
      </c>
      <c r="BG57" s="2" t="b">
        <v>1</v>
      </c>
      <c r="BH57" s="2" t="b">
        <v>1</v>
      </c>
      <c r="BI57" s="2" t="b">
        <v>1</v>
      </c>
    </row>
    <row r="58" spans="1:61" ht="15" customHeight="1" x14ac:dyDescent="0.25">
      <c r="A58" t="s">
        <v>11</v>
      </c>
      <c r="B58" s="2" t="b">
        <v>1</v>
      </c>
      <c r="C58" s="2" t="b">
        <v>1</v>
      </c>
      <c r="D58" s="2" t="b">
        <v>1</v>
      </c>
      <c r="E58" s="2" t="b">
        <v>1</v>
      </c>
      <c r="F58" s="2" t="b">
        <v>1</v>
      </c>
      <c r="G58" s="2" t="b">
        <v>1</v>
      </c>
      <c r="H58" s="2" t="b">
        <v>1</v>
      </c>
      <c r="I58" s="2" t="b">
        <v>1</v>
      </c>
      <c r="J58" s="2" t="b">
        <v>1</v>
      </c>
      <c r="K58" s="2" t="b">
        <v>1</v>
      </c>
      <c r="L58" s="2" t="b">
        <v>1</v>
      </c>
      <c r="M58" s="2" t="b">
        <v>1</v>
      </c>
      <c r="N58" s="2" t="b">
        <v>1</v>
      </c>
      <c r="O58" s="2" t="b">
        <v>1</v>
      </c>
      <c r="P58" s="2" t="b">
        <v>1</v>
      </c>
      <c r="Q58" s="2" t="b">
        <v>1</v>
      </c>
      <c r="R58" s="2" t="b">
        <v>1</v>
      </c>
      <c r="S58" s="2" t="b">
        <v>1</v>
      </c>
      <c r="T58" s="2" t="b">
        <v>1</v>
      </c>
      <c r="U58" s="2" t="b">
        <v>1</v>
      </c>
      <c r="V58" s="2" t="b">
        <v>0</v>
      </c>
      <c r="W58" s="2" t="b">
        <v>1</v>
      </c>
      <c r="X58" s="2" t="b">
        <v>1</v>
      </c>
      <c r="Y58" s="2" t="b">
        <v>1</v>
      </c>
      <c r="Z58" s="2" t="b">
        <v>1</v>
      </c>
      <c r="AA58" s="2" t="b">
        <v>1</v>
      </c>
      <c r="AB58" s="2" t="b">
        <v>1</v>
      </c>
      <c r="AC58" s="2" t="b">
        <v>1</v>
      </c>
      <c r="AD58" s="2" t="b">
        <v>1</v>
      </c>
      <c r="AE58" s="2" t="b">
        <v>1</v>
      </c>
      <c r="AF58" s="2" t="b">
        <v>1</v>
      </c>
      <c r="AG58" s="2" t="b">
        <v>1</v>
      </c>
      <c r="AH58" s="2" t="b">
        <v>0</v>
      </c>
      <c r="AI58" s="2" t="b">
        <v>0</v>
      </c>
      <c r="AJ58" s="2" t="b">
        <v>1</v>
      </c>
      <c r="AK58" s="2" t="b">
        <v>1</v>
      </c>
      <c r="AL58" s="2" t="b">
        <v>1</v>
      </c>
      <c r="AM58" s="2" t="b">
        <v>1</v>
      </c>
      <c r="AN58" s="2" t="b">
        <v>1</v>
      </c>
      <c r="AO58" s="2" t="b">
        <v>1</v>
      </c>
      <c r="AP58" s="2" t="b">
        <v>1</v>
      </c>
      <c r="AQ58" s="2" t="b">
        <v>1</v>
      </c>
      <c r="AR58" s="2" t="b">
        <v>1</v>
      </c>
      <c r="AS58" s="2" t="b">
        <v>1</v>
      </c>
      <c r="AT58" s="2" t="b">
        <v>1</v>
      </c>
      <c r="AU58" s="2" t="b">
        <v>1</v>
      </c>
      <c r="AV58" s="2" t="b">
        <v>1</v>
      </c>
      <c r="AW58" s="2" t="b">
        <v>1</v>
      </c>
      <c r="AX58" s="2" t="b">
        <v>1</v>
      </c>
      <c r="AY58" s="2" t="b">
        <v>1</v>
      </c>
      <c r="AZ58" s="2" t="b">
        <v>1</v>
      </c>
      <c r="BA58" s="2" t="b">
        <v>1</v>
      </c>
      <c r="BB58" s="2" t="b">
        <v>1</v>
      </c>
      <c r="BC58" s="2" t="b">
        <v>1</v>
      </c>
      <c r="BD58" s="2" t="b">
        <v>1</v>
      </c>
      <c r="BE58" s="2" t="b">
        <v>1</v>
      </c>
      <c r="BF58" s="2" t="b">
        <v>1</v>
      </c>
      <c r="BG58" s="2" t="b">
        <v>1</v>
      </c>
      <c r="BH58" s="2" t="b">
        <v>1</v>
      </c>
      <c r="BI58" s="2" t="b">
        <v>1</v>
      </c>
    </row>
    <row r="59" spans="1:61" ht="15" customHeight="1" x14ac:dyDescent="0.25">
      <c r="A59" s="1" t="s">
        <v>12</v>
      </c>
      <c r="B59" s="2" t="b">
        <v>1</v>
      </c>
      <c r="C59" s="2" t="b">
        <v>1</v>
      </c>
      <c r="D59" s="2" t="b">
        <v>1</v>
      </c>
      <c r="E59" s="2" t="b">
        <v>1</v>
      </c>
      <c r="F59" s="2" t="b">
        <v>1</v>
      </c>
      <c r="G59" s="2" t="b">
        <v>1</v>
      </c>
      <c r="H59" s="2" t="b">
        <v>1</v>
      </c>
      <c r="I59" s="2" t="b">
        <v>1</v>
      </c>
      <c r="J59" s="2" t="b">
        <v>1</v>
      </c>
      <c r="K59" s="2" t="b">
        <v>1</v>
      </c>
      <c r="L59" s="2" t="b">
        <v>1</v>
      </c>
      <c r="M59" s="2" t="b">
        <v>1</v>
      </c>
      <c r="N59" s="2" t="b">
        <v>1</v>
      </c>
      <c r="O59" s="2" t="b">
        <v>1</v>
      </c>
      <c r="P59" s="2" t="b">
        <v>1</v>
      </c>
      <c r="Q59" s="2" t="b">
        <v>1</v>
      </c>
      <c r="R59" s="2" t="b">
        <v>1</v>
      </c>
      <c r="S59" s="2" t="b">
        <v>1</v>
      </c>
      <c r="T59" s="2" t="b">
        <v>1</v>
      </c>
      <c r="U59" s="2" t="b">
        <v>1</v>
      </c>
      <c r="V59" s="2" t="b">
        <v>1</v>
      </c>
      <c r="W59" s="2" t="b">
        <v>1</v>
      </c>
      <c r="X59" s="2" t="b">
        <v>1</v>
      </c>
      <c r="Y59" s="2" t="b">
        <v>1</v>
      </c>
      <c r="Z59" s="2" t="b">
        <v>1</v>
      </c>
      <c r="AA59" s="2" t="b">
        <v>1</v>
      </c>
      <c r="AB59" s="2" t="b">
        <v>1</v>
      </c>
      <c r="AC59" s="2" t="b">
        <v>1</v>
      </c>
      <c r="AD59" s="2" t="b">
        <v>1</v>
      </c>
      <c r="AE59" s="2" t="b">
        <v>1</v>
      </c>
      <c r="AF59" s="2" t="b">
        <v>1</v>
      </c>
      <c r="AG59" s="2" t="b">
        <v>1</v>
      </c>
      <c r="AH59" s="2" t="b">
        <v>1</v>
      </c>
      <c r="AI59" s="2" t="b">
        <v>1</v>
      </c>
      <c r="AJ59" s="2" t="b">
        <v>1</v>
      </c>
      <c r="AK59" s="2" t="b">
        <v>1</v>
      </c>
      <c r="AL59" s="2" t="b">
        <v>1</v>
      </c>
      <c r="AM59" s="2" t="b">
        <v>1</v>
      </c>
      <c r="AN59" s="2" t="b">
        <v>1</v>
      </c>
      <c r="AO59" s="2" t="b">
        <v>1</v>
      </c>
      <c r="AP59" s="2" t="b">
        <v>1</v>
      </c>
      <c r="AQ59" s="2" t="b">
        <v>1</v>
      </c>
      <c r="AR59" s="2" t="b">
        <v>1</v>
      </c>
      <c r="AS59" s="2" t="b">
        <v>1</v>
      </c>
      <c r="AT59" s="2" t="b">
        <v>1</v>
      </c>
      <c r="AU59" s="2" t="b">
        <v>1</v>
      </c>
      <c r="AV59" s="2" t="b">
        <v>1</v>
      </c>
      <c r="AW59" s="2" t="b">
        <v>1</v>
      </c>
      <c r="AX59" s="2" t="b">
        <v>1</v>
      </c>
      <c r="AY59" s="2" t="b">
        <v>1</v>
      </c>
      <c r="AZ59" s="2" t="b">
        <v>1</v>
      </c>
      <c r="BA59" s="2" t="b">
        <v>1</v>
      </c>
      <c r="BB59" s="2" t="b">
        <v>1</v>
      </c>
      <c r="BC59" s="2" t="b">
        <v>1</v>
      </c>
      <c r="BD59" s="2" t="b">
        <v>1</v>
      </c>
      <c r="BE59" s="2" t="b">
        <v>1</v>
      </c>
      <c r="BF59" s="2" t="b">
        <v>1</v>
      </c>
      <c r="BG59" s="2" t="b">
        <v>1</v>
      </c>
      <c r="BH59" s="2" t="b">
        <v>1</v>
      </c>
      <c r="BI59" s="2" t="b">
        <v>1</v>
      </c>
    </row>
    <row r="60" spans="1:61" ht="15" customHeight="1" x14ac:dyDescent="0.25">
      <c r="A60" t="s">
        <v>13</v>
      </c>
      <c r="B60" s="2" t="b">
        <v>1</v>
      </c>
      <c r="C60" s="2" t="b">
        <v>1</v>
      </c>
      <c r="D60" s="2" t="b">
        <v>1</v>
      </c>
      <c r="E60" s="2" t="b">
        <v>1</v>
      </c>
      <c r="F60" s="2" t="b">
        <v>1</v>
      </c>
      <c r="G60" s="2" t="b">
        <v>1</v>
      </c>
      <c r="H60" s="2" t="b">
        <v>0</v>
      </c>
      <c r="I60" s="2" t="b">
        <v>1</v>
      </c>
      <c r="J60" s="2" t="b">
        <v>1</v>
      </c>
      <c r="K60" s="2" t="b">
        <v>1</v>
      </c>
      <c r="L60" s="2" t="b">
        <v>1</v>
      </c>
      <c r="M60" s="2" t="b">
        <v>1</v>
      </c>
      <c r="N60" s="2" t="b">
        <v>0</v>
      </c>
      <c r="O60" s="2" t="b">
        <v>1</v>
      </c>
      <c r="P60" s="2" t="b">
        <v>1</v>
      </c>
      <c r="Q60" s="2" t="b">
        <v>1</v>
      </c>
      <c r="R60" s="2" t="b">
        <v>1</v>
      </c>
      <c r="S60" s="2" t="b">
        <v>1</v>
      </c>
      <c r="T60" s="2" t="b">
        <v>1</v>
      </c>
      <c r="U60" s="2" t="b">
        <v>1</v>
      </c>
      <c r="V60" s="2" t="b">
        <v>0</v>
      </c>
      <c r="W60" s="2" t="b">
        <v>1</v>
      </c>
      <c r="X60" s="2" t="b">
        <v>1</v>
      </c>
      <c r="Y60" s="2" t="b">
        <v>1</v>
      </c>
      <c r="Z60" s="2" t="b">
        <v>1</v>
      </c>
      <c r="AA60" s="2" t="b">
        <v>1</v>
      </c>
      <c r="AB60" s="2" t="b">
        <v>1</v>
      </c>
      <c r="AC60" s="2" t="b">
        <v>0</v>
      </c>
      <c r="AD60" s="2" t="b">
        <v>1</v>
      </c>
      <c r="AE60" s="2" t="b">
        <v>0</v>
      </c>
      <c r="AF60" s="2" t="b">
        <v>0</v>
      </c>
      <c r="AG60" s="2" t="b">
        <v>1</v>
      </c>
      <c r="AH60" s="2" t="b">
        <v>0</v>
      </c>
      <c r="AI60" s="2" t="b">
        <v>1</v>
      </c>
      <c r="AJ60" s="2" t="b">
        <v>1</v>
      </c>
      <c r="AK60" s="2" t="b">
        <v>1</v>
      </c>
      <c r="AL60" s="2" t="b">
        <v>0</v>
      </c>
      <c r="AM60" s="2" t="b">
        <v>0</v>
      </c>
      <c r="AN60" s="2" t="b">
        <v>1</v>
      </c>
      <c r="AO60" s="2" t="b">
        <v>1</v>
      </c>
      <c r="AP60" s="2" t="b">
        <v>1</v>
      </c>
      <c r="AQ60" s="2" t="b">
        <v>1</v>
      </c>
      <c r="AR60" s="2" t="b">
        <v>1</v>
      </c>
      <c r="AS60" s="2" t="b">
        <v>1</v>
      </c>
      <c r="AT60" s="2" t="b">
        <v>1</v>
      </c>
      <c r="AU60" s="2" t="b">
        <v>1</v>
      </c>
      <c r="AV60" s="2" t="b">
        <v>1</v>
      </c>
      <c r="AW60" s="2" t="b">
        <v>1</v>
      </c>
      <c r="AX60" s="2" t="b">
        <v>1</v>
      </c>
      <c r="AY60" s="2" t="b">
        <v>1</v>
      </c>
      <c r="AZ60" s="2" t="b">
        <v>1</v>
      </c>
      <c r="BA60" s="2" t="b">
        <v>1</v>
      </c>
      <c r="BB60" s="2" t="b">
        <v>1</v>
      </c>
      <c r="BC60" s="2" t="b">
        <v>1</v>
      </c>
      <c r="BD60" s="2" t="b">
        <v>1</v>
      </c>
      <c r="BE60" s="2" t="b">
        <v>1</v>
      </c>
      <c r="BF60" s="2" t="b">
        <v>1</v>
      </c>
      <c r="BG60" s="2" t="b">
        <v>1</v>
      </c>
      <c r="BH60" s="2" t="b">
        <v>1</v>
      </c>
      <c r="BI60" s="2" t="b">
        <v>1</v>
      </c>
    </row>
    <row r="61" spans="1:61" ht="15" customHeight="1" x14ac:dyDescent="0.25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</row>
    <row r="62" spans="1:61" ht="15" customHeight="1" x14ac:dyDescent="0.25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</row>
    <row r="63" spans="1:61" ht="15" customHeight="1" x14ac:dyDescent="0.25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</row>
    <row r="64" spans="1:61" ht="15" customHeight="1" x14ac:dyDescent="0.25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</row>
    <row r="65" spans="2:41" ht="15" customHeight="1" x14ac:dyDescent="0.25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</row>
    <row r="66" spans="2:41" ht="15" customHeight="1" x14ac:dyDescent="0.25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</row>
    <row r="67" spans="2:41" ht="15" customHeight="1" x14ac:dyDescent="0.25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</row>
    <row r="68" spans="2:41" ht="15" customHeight="1" x14ac:dyDescent="0.25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I60"/>
  <sheetViews>
    <sheetView zoomScaleNormal="100" workbookViewId="0">
      <selection sqref="A1:XFD1048576"/>
    </sheetView>
  </sheetViews>
  <sheetFormatPr defaultColWidth="8.5703125" defaultRowHeight="15" x14ac:dyDescent="0.25"/>
  <cols>
    <col min="1" max="1" width="24" customWidth="1"/>
    <col min="2" max="29" width="20" customWidth="1"/>
    <col min="30" max="30" width="19" customWidth="1"/>
    <col min="31" max="41" width="20" customWidth="1"/>
    <col min="42" max="61" width="19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1</v>
      </c>
      <c r="C2">
        <v>218307.95333333331</v>
      </c>
      <c r="D2">
        <v>198111.2</v>
      </c>
      <c r="E2">
        <v>240038.7</v>
      </c>
      <c r="F2">
        <v>13205.361323776369</v>
      </c>
    </row>
    <row r="3" spans="1:6" x14ac:dyDescent="0.25">
      <c r="A3" t="s">
        <v>6</v>
      </c>
      <c r="B3">
        <v>2</v>
      </c>
      <c r="C3">
        <v>406720.065</v>
      </c>
      <c r="D3">
        <v>340044.4</v>
      </c>
      <c r="E3">
        <v>459557.23333333328</v>
      </c>
      <c r="F3">
        <v>29002.267660241239</v>
      </c>
    </row>
    <row r="4" spans="1:6" x14ac:dyDescent="0.25">
      <c r="A4" t="s">
        <v>6</v>
      </c>
      <c r="B4">
        <v>3</v>
      </c>
      <c r="C4">
        <v>811105.26500000001</v>
      </c>
      <c r="D4">
        <v>749456.6</v>
      </c>
      <c r="E4">
        <v>883394.9</v>
      </c>
      <c r="F4">
        <v>38047.959540641263</v>
      </c>
    </row>
    <row r="5" spans="1:6" x14ac:dyDescent="0.25">
      <c r="A5" t="s">
        <v>7</v>
      </c>
      <c r="B5">
        <v>1</v>
      </c>
      <c r="C5">
        <v>179364.5566666667</v>
      </c>
      <c r="D5">
        <v>133291.1</v>
      </c>
      <c r="E5">
        <v>191476.1</v>
      </c>
      <c r="F5">
        <v>13047.260747886679</v>
      </c>
    </row>
    <row r="6" spans="1:6" x14ac:dyDescent="0.25">
      <c r="A6" t="s">
        <v>7</v>
      </c>
      <c r="B6">
        <v>2</v>
      </c>
      <c r="C6">
        <v>320732.42499999999</v>
      </c>
      <c r="D6">
        <v>283239.33333333331</v>
      </c>
      <c r="E6">
        <v>351119.36666666658</v>
      </c>
      <c r="F6">
        <v>15926.97285964171</v>
      </c>
    </row>
    <row r="7" spans="1:6" x14ac:dyDescent="0.25">
      <c r="A7" t="s">
        <v>7</v>
      </c>
      <c r="B7">
        <v>3</v>
      </c>
      <c r="C7">
        <v>612670.39666666661</v>
      </c>
      <c r="D7">
        <v>561046.6</v>
      </c>
      <c r="E7">
        <v>649761.03333333333</v>
      </c>
      <c r="F7">
        <v>23999.162155812639</v>
      </c>
    </row>
    <row r="8" spans="1:6" x14ac:dyDescent="0.25">
      <c r="A8" t="s">
        <v>8</v>
      </c>
      <c r="B8">
        <v>1</v>
      </c>
      <c r="C8">
        <v>184664.5333333333</v>
      </c>
      <c r="D8">
        <v>184664.5333333333</v>
      </c>
      <c r="E8">
        <v>184664.5333333333</v>
      </c>
      <c r="F8">
        <v>0</v>
      </c>
    </row>
    <row r="9" spans="1:6" x14ac:dyDescent="0.25">
      <c r="A9" t="s">
        <v>8</v>
      </c>
      <c r="B9">
        <v>2</v>
      </c>
      <c r="C9">
        <v>343970.9</v>
      </c>
      <c r="D9">
        <v>343970.9</v>
      </c>
      <c r="E9">
        <v>343970.9</v>
      </c>
      <c r="F9">
        <v>0</v>
      </c>
    </row>
    <row r="10" spans="1:6" x14ac:dyDescent="0.25">
      <c r="A10" t="s">
        <v>8</v>
      </c>
      <c r="B10">
        <v>3</v>
      </c>
      <c r="C10">
        <v>614032.5</v>
      </c>
      <c r="D10">
        <v>614032.5</v>
      </c>
      <c r="E10">
        <v>614032.5</v>
      </c>
      <c r="F10">
        <v>0</v>
      </c>
    </row>
    <row r="11" spans="1:6" x14ac:dyDescent="0.25">
      <c r="A11" t="s">
        <v>9</v>
      </c>
      <c r="B11">
        <v>1</v>
      </c>
      <c r="C11">
        <v>193251.51</v>
      </c>
      <c r="D11">
        <v>174102.6333333333</v>
      </c>
      <c r="E11">
        <v>206668.1333333333</v>
      </c>
      <c r="F11">
        <v>8597.2095785725724</v>
      </c>
    </row>
    <row r="12" spans="1:6" ht="15" customHeight="1" x14ac:dyDescent="0.25">
      <c r="A12" s="1" t="s">
        <v>9</v>
      </c>
      <c r="B12">
        <v>2</v>
      </c>
      <c r="C12">
        <v>350990.89</v>
      </c>
      <c r="D12">
        <v>320436.33333333331</v>
      </c>
      <c r="E12">
        <v>364387.5</v>
      </c>
      <c r="F12">
        <v>12737.258025206131</v>
      </c>
    </row>
    <row r="13" spans="1:6" x14ac:dyDescent="0.25">
      <c r="A13" t="s">
        <v>9</v>
      </c>
      <c r="B13">
        <v>3</v>
      </c>
      <c r="C13">
        <v>626154.41833333333</v>
      </c>
      <c r="D13">
        <v>597936.66666666663</v>
      </c>
      <c r="E13">
        <v>648391.4</v>
      </c>
      <c r="F13">
        <v>15030.353529502579</v>
      </c>
    </row>
    <row r="14" spans="1:6" x14ac:dyDescent="0.25">
      <c r="A14" t="s">
        <v>10</v>
      </c>
      <c r="B14">
        <v>1</v>
      </c>
      <c r="C14">
        <v>193626.8116666667</v>
      </c>
      <c r="D14">
        <v>186242.5</v>
      </c>
      <c r="E14">
        <v>197395.4</v>
      </c>
      <c r="F14">
        <v>2829.5549054042422</v>
      </c>
    </row>
    <row r="15" spans="1:6" x14ac:dyDescent="0.25">
      <c r="A15" t="s">
        <v>10</v>
      </c>
      <c r="B15">
        <v>2</v>
      </c>
      <c r="C15">
        <v>348799.14</v>
      </c>
      <c r="D15">
        <v>314099.26666666672</v>
      </c>
      <c r="E15">
        <v>363467.06666666671</v>
      </c>
      <c r="F15">
        <v>13078.51737682661</v>
      </c>
    </row>
    <row r="16" spans="1:6" x14ac:dyDescent="0.25">
      <c r="A16" t="s">
        <v>10</v>
      </c>
      <c r="B16">
        <v>3</v>
      </c>
      <c r="C16">
        <v>617612.2533333333</v>
      </c>
      <c r="D16">
        <v>564628.16666666663</v>
      </c>
      <c r="E16">
        <v>638955.4</v>
      </c>
      <c r="F16">
        <v>17979.36032053113</v>
      </c>
    </row>
    <row r="17" spans="1:6" x14ac:dyDescent="0.25">
      <c r="A17" t="s">
        <v>11</v>
      </c>
      <c r="B17">
        <v>1</v>
      </c>
      <c r="C17">
        <v>193936.13</v>
      </c>
      <c r="D17">
        <v>164910.79999999999</v>
      </c>
      <c r="E17">
        <v>208041.9666666667</v>
      </c>
      <c r="F17">
        <v>10884.026595188319</v>
      </c>
    </row>
    <row r="18" spans="1:6" x14ac:dyDescent="0.25">
      <c r="A18" t="s">
        <v>11</v>
      </c>
      <c r="B18">
        <v>2</v>
      </c>
      <c r="C18">
        <v>345550.25666666671</v>
      </c>
      <c r="D18">
        <v>305213.3</v>
      </c>
      <c r="E18">
        <v>368337.5</v>
      </c>
      <c r="F18">
        <v>17385.734433494919</v>
      </c>
    </row>
    <row r="19" spans="1:6" x14ac:dyDescent="0.25">
      <c r="A19" t="s">
        <v>11</v>
      </c>
      <c r="B19">
        <v>3</v>
      </c>
      <c r="C19">
        <v>620360.43333333335</v>
      </c>
      <c r="D19">
        <v>594414.96666666667</v>
      </c>
      <c r="E19">
        <v>654864.16666666663</v>
      </c>
      <c r="F19">
        <v>17604.566994106961</v>
      </c>
    </row>
    <row r="20" spans="1:6" ht="15" customHeight="1" x14ac:dyDescent="0.25">
      <c r="A20" s="1" t="s">
        <v>12</v>
      </c>
      <c r="B20">
        <v>1</v>
      </c>
      <c r="C20">
        <v>192831.43333333329</v>
      </c>
      <c r="D20">
        <v>160758.26666666669</v>
      </c>
      <c r="E20">
        <v>206355.26666666669</v>
      </c>
      <c r="F20">
        <v>11857.613463256421</v>
      </c>
    </row>
    <row r="21" spans="1:6" x14ac:dyDescent="0.25">
      <c r="A21" t="s">
        <v>12</v>
      </c>
      <c r="B21">
        <v>2</v>
      </c>
      <c r="C21">
        <v>346691.31</v>
      </c>
      <c r="D21">
        <v>315654.06666666671</v>
      </c>
      <c r="E21">
        <v>359829.2</v>
      </c>
      <c r="F21">
        <v>12477.050346046901</v>
      </c>
    </row>
    <row r="22" spans="1:6" x14ac:dyDescent="0.25">
      <c r="A22" t="s">
        <v>12</v>
      </c>
      <c r="B22">
        <v>3</v>
      </c>
      <c r="C22">
        <v>624548.1333333333</v>
      </c>
      <c r="D22">
        <v>590633.53333333333</v>
      </c>
      <c r="E22">
        <v>660068.80000000005</v>
      </c>
      <c r="F22">
        <v>16257.77124043898</v>
      </c>
    </row>
    <row r="23" spans="1:6" ht="15" customHeight="1" x14ac:dyDescent="0.25">
      <c r="A23" s="1" t="s">
        <v>13</v>
      </c>
      <c r="B23">
        <v>1</v>
      </c>
      <c r="C23">
        <v>195753.04</v>
      </c>
      <c r="D23">
        <v>155071.06666666671</v>
      </c>
      <c r="E23">
        <v>215389.2</v>
      </c>
      <c r="F23">
        <v>12888.53387003175</v>
      </c>
    </row>
    <row r="24" spans="1:6" x14ac:dyDescent="0.25">
      <c r="A24" t="s">
        <v>13</v>
      </c>
      <c r="B24">
        <v>2</v>
      </c>
      <c r="C24">
        <v>343630.935</v>
      </c>
      <c r="D24">
        <v>321860.3</v>
      </c>
      <c r="E24">
        <v>372613.9</v>
      </c>
      <c r="F24">
        <v>12371.89110471114</v>
      </c>
    </row>
    <row r="25" spans="1:6" x14ac:dyDescent="0.25">
      <c r="A25" t="s">
        <v>13</v>
      </c>
      <c r="B25">
        <v>3</v>
      </c>
      <c r="C25">
        <v>623626.67500000005</v>
      </c>
      <c r="D25">
        <v>579358.66666666663</v>
      </c>
      <c r="E25">
        <v>647538.73333333328</v>
      </c>
      <c r="F25">
        <v>15650.076946235669</v>
      </c>
    </row>
    <row r="28" spans="1:6" ht="15" customHeight="1" x14ac:dyDescent="0.25">
      <c r="A28" s="4" t="s">
        <v>14</v>
      </c>
    </row>
    <row r="29" spans="1:6" x14ac:dyDescent="0.25">
      <c r="A29" t="s">
        <v>6</v>
      </c>
      <c r="C29">
        <v>478711.09444444452</v>
      </c>
      <c r="D29">
        <v>198111.2</v>
      </c>
      <c r="E29">
        <v>883394.9</v>
      </c>
      <c r="F29">
        <v>248958.86485030269</v>
      </c>
    </row>
    <row r="30" spans="1:6" x14ac:dyDescent="0.25">
      <c r="A30" t="s">
        <v>7</v>
      </c>
      <c r="C30">
        <v>370922.45944444451</v>
      </c>
      <c r="D30">
        <v>133291.1</v>
      </c>
      <c r="E30">
        <v>649761.03333333333</v>
      </c>
      <c r="F30">
        <v>181342.5801138375</v>
      </c>
    </row>
    <row r="31" spans="1:6" ht="15" customHeight="1" x14ac:dyDescent="0.25">
      <c r="A31" s="1" t="s">
        <v>8</v>
      </c>
      <c r="C31">
        <v>380889.31111111108</v>
      </c>
      <c r="D31">
        <v>184664.5333333333</v>
      </c>
      <c r="E31">
        <v>614032.5</v>
      </c>
      <c r="F31">
        <v>177221.96912176491</v>
      </c>
    </row>
    <row r="32" spans="1:6" x14ac:dyDescent="0.25">
      <c r="A32" t="s">
        <v>9</v>
      </c>
      <c r="C32">
        <v>390132.27277777769</v>
      </c>
      <c r="D32">
        <v>174102.6333333333</v>
      </c>
      <c r="E32">
        <v>648391.4</v>
      </c>
      <c r="F32">
        <v>179315.91960570999</v>
      </c>
    </row>
    <row r="33" spans="1:6" x14ac:dyDescent="0.25">
      <c r="A33" t="s">
        <v>10</v>
      </c>
      <c r="C33">
        <v>386679.40166666667</v>
      </c>
      <c r="D33">
        <v>186242.5</v>
      </c>
      <c r="E33">
        <v>638955.4</v>
      </c>
      <c r="F33">
        <v>175628.8796523473</v>
      </c>
    </row>
    <row r="34" spans="1:6" x14ac:dyDescent="0.25">
      <c r="A34" t="s">
        <v>11</v>
      </c>
      <c r="C34">
        <v>386615.60666666669</v>
      </c>
      <c r="D34">
        <v>164910.79999999999</v>
      </c>
      <c r="E34">
        <v>654864.16666666663</v>
      </c>
      <c r="F34">
        <v>177180.7309579307</v>
      </c>
    </row>
    <row r="35" spans="1:6" ht="15" customHeight="1" x14ac:dyDescent="0.25">
      <c r="A35" s="1" t="s">
        <v>12</v>
      </c>
      <c r="C35">
        <v>388023.62555555563</v>
      </c>
      <c r="D35">
        <v>160758.26666666669</v>
      </c>
      <c r="E35">
        <v>660068.80000000005</v>
      </c>
      <c r="F35">
        <v>179176.6259879799</v>
      </c>
    </row>
    <row r="36" spans="1:6" ht="15" customHeight="1" x14ac:dyDescent="0.25">
      <c r="A36" s="1" t="s">
        <v>13</v>
      </c>
      <c r="C36">
        <v>387670.21666666667</v>
      </c>
      <c r="D36">
        <v>155071.06666666671</v>
      </c>
      <c r="E36">
        <v>647538.73333333328</v>
      </c>
      <c r="F36">
        <v>177961.806915491</v>
      </c>
    </row>
    <row r="39" spans="1:6" ht="15" customHeight="1" x14ac:dyDescent="0.25">
      <c r="A39" s="4" t="s">
        <v>15</v>
      </c>
    </row>
    <row r="40" spans="1:6" x14ac:dyDescent="0.25">
      <c r="A40" t="s">
        <v>16</v>
      </c>
      <c r="B40">
        <v>1</v>
      </c>
      <c r="C40">
        <v>2</v>
      </c>
      <c r="D40">
        <v>3</v>
      </c>
    </row>
    <row r="41" spans="1:6" x14ac:dyDescent="0.25">
      <c r="A41" t="s">
        <v>6</v>
      </c>
      <c r="B41">
        <v>218307.95333333331</v>
      </c>
      <c r="C41">
        <v>406720.065</v>
      </c>
      <c r="D41">
        <v>811105.26500000001</v>
      </c>
    </row>
    <row r="42" spans="1:6" x14ac:dyDescent="0.25">
      <c r="A42" t="s">
        <v>7</v>
      </c>
      <c r="B42">
        <v>179364.5566666667</v>
      </c>
      <c r="C42">
        <v>320732.42499999999</v>
      </c>
      <c r="D42">
        <v>612670.39666666661</v>
      </c>
    </row>
    <row r="43" spans="1:6" ht="15" customHeight="1" x14ac:dyDescent="0.25">
      <c r="A43" s="1" t="s">
        <v>8</v>
      </c>
      <c r="B43">
        <v>184664.5333333333</v>
      </c>
      <c r="C43">
        <v>343970.9</v>
      </c>
      <c r="D43">
        <v>614032.5</v>
      </c>
    </row>
    <row r="44" spans="1:6" x14ac:dyDescent="0.25">
      <c r="A44" t="s">
        <v>9</v>
      </c>
      <c r="B44">
        <v>193251.51</v>
      </c>
      <c r="C44">
        <v>350990.89</v>
      </c>
      <c r="D44">
        <v>626154.41833333333</v>
      </c>
    </row>
    <row r="45" spans="1:6" x14ac:dyDescent="0.25">
      <c r="A45" t="s">
        <v>10</v>
      </c>
      <c r="B45">
        <v>193626.8116666667</v>
      </c>
      <c r="C45">
        <v>348799.14</v>
      </c>
      <c r="D45">
        <v>617612.2533333333</v>
      </c>
    </row>
    <row r="46" spans="1:6" x14ac:dyDescent="0.25">
      <c r="A46" t="s">
        <v>11</v>
      </c>
      <c r="B46">
        <v>193936.13</v>
      </c>
      <c r="C46">
        <v>345550.25666666671</v>
      </c>
      <c r="D46">
        <v>620360.43333333335</v>
      </c>
    </row>
    <row r="47" spans="1:6" ht="15" customHeight="1" x14ac:dyDescent="0.25">
      <c r="A47" s="1" t="s">
        <v>12</v>
      </c>
      <c r="B47">
        <v>192831.43333333329</v>
      </c>
      <c r="C47">
        <v>346691.31</v>
      </c>
      <c r="D47">
        <v>624548.1333333333</v>
      </c>
    </row>
    <row r="48" spans="1:6" x14ac:dyDescent="0.25">
      <c r="A48" t="s">
        <v>13</v>
      </c>
      <c r="B48">
        <v>195753.04</v>
      </c>
      <c r="C48">
        <v>343630.935</v>
      </c>
      <c r="D48">
        <v>623626.67500000005</v>
      </c>
    </row>
    <row r="51" spans="1:61" ht="15" customHeight="1" x14ac:dyDescent="0.25">
      <c r="A51" s="4" t="s">
        <v>17</v>
      </c>
    </row>
    <row r="52" spans="1:61" x14ac:dyDescent="0.25">
      <c r="A52" t="s">
        <v>16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x14ac:dyDescent="0.25">
      <c r="A53" t="s">
        <v>6</v>
      </c>
      <c r="B53">
        <v>198111.2</v>
      </c>
      <c r="C53">
        <v>214251.06666666671</v>
      </c>
      <c r="D53">
        <v>237391.9</v>
      </c>
      <c r="E53">
        <v>207307.33333333331</v>
      </c>
      <c r="F53">
        <v>237087.6333333333</v>
      </c>
      <c r="G53">
        <v>213515.76666666669</v>
      </c>
      <c r="H53">
        <v>240038.7</v>
      </c>
      <c r="I53">
        <v>232160.2</v>
      </c>
      <c r="J53">
        <v>231159.3</v>
      </c>
      <c r="K53">
        <v>200054.73333333331</v>
      </c>
      <c r="L53">
        <v>212526.06666666671</v>
      </c>
      <c r="M53">
        <v>206264.66666666669</v>
      </c>
      <c r="N53">
        <v>198815.4</v>
      </c>
      <c r="O53">
        <v>201879.6</v>
      </c>
      <c r="P53">
        <v>225985.8</v>
      </c>
      <c r="Q53">
        <v>226921.06666666671</v>
      </c>
      <c r="R53">
        <v>219421.3666666667</v>
      </c>
      <c r="S53">
        <v>226619.4666666667</v>
      </c>
      <c r="T53">
        <v>216300.66666666669</v>
      </c>
      <c r="U53">
        <v>220347.1333333333</v>
      </c>
      <c r="V53">
        <v>451164.03333333333</v>
      </c>
      <c r="W53">
        <v>408506.93333333329</v>
      </c>
      <c r="X53">
        <v>459557.23333333328</v>
      </c>
      <c r="Y53">
        <v>410859.4</v>
      </c>
      <c r="Z53">
        <v>418287.7</v>
      </c>
      <c r="AA53">
        <v>406714.56666666671</v>
      </c>
      <c r="AB53">
        <v>435996.13333333342</v>
      </c>
      <c r="AC53">
        <v>426569.56666666671</v>
      </c>
      <c r="AD53">
        <v>368011.16666666669</v>
      </c>
      <c r="AE53">
        <v>387386.36666666658</v>
      </c>
      <c r="AF53">
        <v>409169.96666666667</v>
      </c>
      <c r="AG53">
        <v>408470.43333333329</v>
      </c>
      <c r="AH53">
        <v>409908.73333333328</v>
      </c>
      <c r="AI53">
        <v>434633.6</v>
      </c>
      <c r="AJ53">
        <v>373041.43333333329</v>
      </c>
      <c r="AK53">
        <v>430680.63333333342</v>
      </c>
      <c r="AL53">
        <v>386694.83333333331</v>
      </c>
      <c r="AM53">
        <v>398914.6</v>
      </c>
      <c r="AN53">
        <v>340044.4</v>
      </c>
      <c r="AO53">
        <v>369789.56666666671</v>
      </c>
      <c r="AP53">
        <v>822251.56666666665</v>
      </c>
      <c r="AQ53">
        <v>797677.46666666667</v>
      </c>
      <c r="AR53">
        <v>805071.8</v>
      </c>
      <c r="AS53">
        <v>813214.43333333335</v>
      </c>
      <c r="AT53">
        <v>850216.6333333333</v>
      </c>
      <c r="AU53">
        <v>749456.6</v>
      </c>
      <c r="AV53">
        <v>827815.16666666663</v>
      </c>
      <c r="AW53">
        <v>764355.1</v>
      </c>
      <c r="AX53">
        <v>838596.1333333333</v>
      </c>
      <c r="AY53">
        <v>828969.2</v>
      </c>
      <c r="AZ53">
        <v>789471.76666666672</v>
      </c>
      <c r="BA53">
        <v>813854.9</v>
      </c>
      <c r="BB53">
        <v>883394.9</v>
      </c>
      <c r="BC53">
        <v>777819.3</v>
      </c>
      <c r="BD53">
        <v>783453.3666666667</v>
      </c>
      <c r="BE53">
        <v>780360.3666666667</v>
      </c>
      <c r="BF53">
        <v>795117.43333333335</v>
      </c>
      <c r="BG53">
        <v>879783.33333333337</v>
      </c>
      <c r="BH53">
        <v>866495.2</v>
      </c>
      <c r="BI53">
        <v>754730.6333333333</v>
      </c>
    </row>
    <row r="54" spans="1:61" x14ac:dyDescent="0.25">
      <c r="A54" t="s">
        <v>7</v>
      </c>
      <c r="B54">
        <v>191476.1</v>
      </c>
      <c r="C54">
        <v>181954.3</v>
      </c>
      <c r="D54">
        <v>172839.6</v>
      </c>
      <c r="E54">
        <v>182696.43333333329</v>
      </c>
      <c r="F54">
        <v>188976.43333333329</v>
      </c>
      <c r="G54">
        <v>180094.9666666667</v>
      </c>
      <c r="H54">
        <v>161040.4666666667</v>
      </c>
      <c r="I54">
        <v>188048.26666666669</v>
      </c>
      <c r="J54">
        <v>179360.73333333331</v>
      </c>
      <c r="K54">
        <v>181448.9666666667</v>
      </c>
      <c r="L54">
        <v>189183.1333333333</v>
      </c>
      <c r="M54">
        <v>174739.83333333331</v>
      </c>
      <c r="N54">
        <v>188741.7</v>
      </c>
      <c r="O54">
        <v>189580.9666666667</v>
      </c>
      <c r="P54">
        <v>173999.5</v>
      </c>
      <c r="Q54">
        <v>177946.6333333333</v>
      </c>
      <c r="R54">
        <v>188509.3</v>
      </c>
      <c r="S54">
        <v>133291.1</v>
      </c>
      <c r="T54">
        <v>173585.5333333333</v>
      </c>
      <c r="U54">
        <v>189777.16666666669</v>
      </c>
      <c r="V54">
        <v>334136.76666666672</v>
      </c>
      <c r="W54">
        <v>321960.40000000002</v>
      </c>
      <c r="X54">
        <v>321298.03333333333</v>
      </c>
      <c r="Y54">
        <v>314124.16666666669</v>
      </c>
      <c r="Z54">
        <v>312893.43333333329</v>
      </c>
      <c r="AA54">
        <v>320913.33333333331</v>
      </c>
      <c r="AB54">
        <v>333526.93333333329</v>
      </c>
      <c r="AC54">
        <v>318399.86666666658</v>
      </c>
      <c r="AD54">
        <v>283239.33333333331</v>
      </c>
      <c r="AE54">
        <v>351119.36666666658</v>
      </c>
      <c r="AF54">
        <v>330117.83333333331</v>
      </c>
      <c r="AG54">
        <v>320240.7</v>
      </c>
      <c r="AH54">
        <v>309385.96666666667</v>
      </c>
      <c r="AI54">
        <v>338457.86666666658</v>
      </c>
      <c r="AJ54">
        <v>299912.7</v>
      </c>
      <c r="AK54">
        <v>307895.96666666667</v>
      </c>
      <c r="AL54">
        <v>298910.33333333331</v>
      </c>
      <c r="AM54">
        <v>344295.76666666672</v>
      </c>
      <c r="AN54">
        <v>331970.59999999998</v>
      </c>
      <c r="AO54">
        <v>321849.13333333342</v>
      </c>
      <c r="AP54">
        <v>561046.6</v>
      </c>
      <c r="AQ54">
        <v>563955.23333333328</v>
      </c>
      <c r="AR54">
        <v>593563.73333333328</v>
      </c>
      <c r="AS54">
        <v>642392.16666666663</v>
      </c>
      <c r="AT54">
        <v>606291.6</v>
      </c>
      <c r="AU54">
        <v>642233.83333333337</v>
      </c>
      <c r="AV54">
        <v>601556.30000000005</v>
      </c>
      <c r="AW54">
        <v>606696.1</v>
      </c>
      <c r="AX54">
        <v>649761.03333333333</v>
      </c>
      <c r="AY54">
        <v>624090.26666666672</v>
      </c>
      <c r="AZ54">
        <v>633258.1</v>
      </c>
      <c r="BA54">
        <v>629132.26666666672</v>
      </c>
      <c r="BB54">
        <v>586819.46666666667</v>
      </c>
      <c r="BC54">
        <v>619924.46666666667</v>
      </c>
      <c r="BD54">
        <v>613747.69999999995</v>
      </c>
      <c r="BE54">
        <v>606340.83333333337</v>
      </c>
      <c r="BF54">
        <v>621023.19999999995</v>
      </c>
      <c r="BG54">
        <v>633490.9</v>
      </c>
      <c r="BH54">
        <v>590794.06666666665</v>
      </c>
      <c r="BI54">
        <v>627290.06666666665</v>
      </c>
    </row>
    <row r="55" spans="1:61" x14ac:dyDescent="0.25">
      <c r="A55" t="s">
        <v>8</v>
      </c>
      <c r="B55">
        <v>184664.5333333333</v>
      </c>
      <c r="C55">
        <v>184664.5333333333</v>
      </c>
      <c r="D55">
        <v>184664.5333333333</v>
      </c>
      <c r="E55">
        <v>184664.5333333333</v>
      </c>
      <c r="F55">
        <v>184664.5333333333</v>
      </c>
      <c r="G55">
        <v>184664.5333333333</v>
      </c>
      <c r="H55">
        <v>184664.5333333333</v>
      </c>
      <c r="I55">
        <v>184664.5333333333</v>
      </c>
      <c r="J55">
        <v>184664.5333333333</v>
      </c>
      <c r="K55">
        <v>184664.5333333333</v>
      </c>
      <c r="L55">
        <v>184664.5333333333</v>
      </c>
      <c r="M55">
        <v>184664.5333333333</v>
      </c>
      <c r="N55">
        <v>184664.5333333333</v>
      </c>
      <c r="O55">
        <v>184664.5333333333</v>
      </c>
      <c r="P55">
        <v>184664.5333333333</v>
      </c>
      <c r="Q55">
        <v>184664.5333333333</v>
      </c>
      <c r="R55">
        <v>184664.5333333333</v>
      </c>
      <c r="S55">
        <v>184664.5333333333</v>
      </c>
      <c r="T55">
        <v>184664.5333333333</v>
      </c>
      <c r="U55">
        <v>184664.5333333333</v>
      </c>
      <c r="V55">
        <v>343970.9</v>
      </c>
      <c r="W55">
        <v>343970.9</v>
      </c>
      <c r="X55">
        <v>343970.9</v>
      </c>
      <c r="Y55">
        <v>343970.9</v>
      </c>
      <c r="Z55">
        <v>343970.9</v>
      </c>
      <c r="AA55">
        <v>343970.9</v>
      </c>
      <c r="AB55">
        <v>343970.9</v>
      </c>
      <c r="AC55">
        <v>343970.9</v>
      </c>
      <c r="AD55">
        <v>343970.9</v>
      </c>
      <c r="AE55">
        <v>343970.9</v>
      </c>
      <c r="AF55">
        <v>343970.9</v>
      </c>
      <c r="AG55">
        <v>343970.9</v>
      </c>
      <c r="AH55">
        <v>343970.9</v>
      </c>
      <c r="AI55">
        <v>343970.9</v>
      </c>
      <c r="AJ55">
        <v>343970.9</v>
      </c>
      <c r="AK55">
        <v>343970.9</v>
      </c>
      <c r="AL55">
        <v>343970.9</v>
      </c>
      <c r="AM55">
        <v>343970.9</v>
      </c>
      <c r="AN55">
        <v>343970.9</v>
      </c>
      <c r="AO55">
        <v>343970.9</v>
      </c>
      <c r="AP55">
        <v>614032.5</v>
      </c>
      <c r="AQ55">
        <v>614032.5</v>
      </c>
      <c r="AR55">
        <v>614032.5</v>
      </c>
      <c r="AS55">
        <v>614032.5</v>
      </c>
      <c r="AT55">
        <v>614032.5</v>
      </c>
      <c r="AU55">
        <v>614032.5</v>
      </c>
      <c r="AV55">
        <v>614032.5</v>
      </c>
      <c r="AW55">
        <v>614032.5</v>
      </c>
      <c r="AX55">
        <v>614032.5</v>
      </c>
      <c r="AY55">
        <v>614032.5</v>
      </c>
      <c r="AZ55">
        <v>614032.5</v>
      </c>
      <c r="BA55">
        <v>614032.5</v>
      </c>
      <c r="BB55">
        <v>614032.5</v>
      </c>
      <c r="BC55">
        <v>614032.5</v>
      </c>
      <c r="BD55">
        <v>614032.5</v>
      </c>
      <c r="BE55">
        <v>614032.5</v>
      </c>
      <c r="BF55">
        <v>614032.5</v>
      </c>
      <c r="BG55">
        <v>614032.5</v>
      </c>
      <c r="BH55">
        <v>614032.5</v>
      </c>
      <c r="BI55">
        <v>614032.5</v>
      </c>
    </row>
    <row r="56" spans="1:61" x14ac:dyDescent="0.25">
      <c r="A56" t="s">
        <v>9</v>
      </c>
      <c r="B56">
        <v>196798.3666666667</v>
      </c>
      <c r="C56">
        <v>197448.76666666669</v>
      </c>
      <c r="D56">
        <v>197262.6333333333</v>
      </c>
      <c r="E56">
        <v>185670.5333333333</v>
      </c>
      <c r="F56">
        <v>189767.9666666667</v>
      </c>
      <c r="G56">
        <v>199494.43333333329</v>
      </c>
      <c r="H56">
        <v>201182.33333333331</v>
      </c>
      <c r="I56">
        <v>206668.1333333333</v>
      </c>
      <c r="J56">
        <v>187307.23333333331</v>
      </c>
      <c r="K56">
        <v>190736.33333333331</v>
      </c>
      <c r="L56">
        <v>181143.23333333331</v>
      </c>
      <c r="M56">
        <v>182428.76666666669</v>
      </c>
      <c r="N56">
        <v>206376.43333333329</v>
      </c>
      <c r="O56">
        <v>174102.6333333333</v>
      </c>
      <c r="P56">
        <v>196614.6333333333</v>
      </c>
      <c r="Q56">
        <v>186379.66666666669</v>
      </c>
      <c r="R56">
        <v>187531.4</v>
      </c>
      <c r="S56">
        <v>201319.2</v>
      </c>
      <c r="T56">
        <v>202059.06666666671</v>
      </c>
      <c r="U56">
        <v>194738.43333333329</v>
      </c>
      <c r="V56">
        <v>347679.76666666672</v>
      </c>
      <c r="W56">
        <v>355892.13333333342</v>
      </c>
      <c r="X56">
        <v>355365.43333333329</v>
      </c>
      <c r="Y56">
        <v>361018.06666666671</v>
      </c>
      <c r="Z56">
        <v>361541.26666666672</v>
      </c>
      <c r="AA56">
        <v>320436.33333333331</v>
      </c>
      <c r="AB56">
        <v>364387.5</v>
      </c>
      <c r="AC56">
        <v>356609.5</v>
      </c>
      <c r="AD56">
        <v>356989.9</v>
      </c>
      <c r="AE56">
        <v>348806.23333333328</v>
      </c>
      <c r="AF56">
        <v>330928.5</v>
      </c>
      <c r="AG56">
        <v>360063.63333333342</v>
      </c>
      <c r="AH56">
        <v>356882.53333333333</v>
      </c>
      <c r="AI56">
        <v>359566.13333333342</v>
      </c>
      <c r="AJ56">
        <v>351911.6</v>
      </c>
      <c r="AK56">
        <v>328536.03333333333</v>
      </c>
      <c r="AL56">
        <v>359643.8</v>
      </c>
      <c r="AM56">
        <v>363507.26666666672</v>
      </c>
      <c r="AN56">
        <v>350592.13333333342</v>
      </c>
      <c r="AO56">
        <v>329460.03333333333</v>
      </c>
      <c r="AP56">
        <v>639601.66666666663</v>
      </c>
      <c r="AQ56">
        <v>622223.1</v>
      </c>
      <c r="AR56">
        <v>612457.8666666667</v>
      </c>
      <c r="AS56">
        <v>647513.46666666667</v>
      </c>
      <c r="AT56">
        <v>646746.1333333333</v>
      </c>
      <c r="AU56">
        <v>642923.6</v>
      </c>
      <c r="AV56">
        <v>599005.96666666667</v>
      </c>
      <c r="AW56">
        <v>648391.4</v>
      </c>
      <c r="AX56">
        <v>622137</v>
      </c>
      <c r="AY56">
        <v>625955.76666666672</v>
      </c>
      <c r="AZ56">
        <v>597936.66666666663</v>
      </c>
      <c r="BA56">
        <v>621201.69999999995</v>
      </c>
      <c r="BB56">
        <v>614256.23333333328</v>
      </c>
      <c r="BC56">
        <v>626035.6333333333</v>
      </c>
      <c r="BD56">
        <v>631558.3666666667</v>
      </c>
      <c r="BE56">
        <v>643922.76666666672</v>
      </c>
      <c r="BF56">
        <v>606861.06666666665</v>
      </c>
      <c r="BG56">
        <v>619701.16666666663</v>
      </c>
      <c r="BH56">
        <v>626520.23333333328</v>
      </c>
      <c r="BI56">
        <v>628138.56666666665</v>
      </c>
    </row>
    <row r="57" spans="1:61" x14ac:dyDescent="0.25">
      <c r="A57" t="s">
        <v>10</v>
      </c>
      <c r="B57">
        <v>197318.3</v>
      </c>
      <c r="C57">
        <v>195011.4</v>
      </c>
      <c r="D57">
        <v>195559.16666666669</v>
      </c>
      <c r="E57">
        <v>194310.8</v>
      </c>
      <c r="F57">
        <v>196315.66666666669</v>
      </c>
      <c r="G57">
        <v>194875.9666666667</v>
      </c>
      <c r="H57">
        <v>194979.33333333331</v>
      </c>
      <c r="I57">
        <v>193418.56666666671</v>
      </c>
      <c r="J57">
        <v>193089.1333333333</v>
      </c>
      <c r="K57">
        <v>194565.43333333329</v>
      </c>
      <c r="L57">
        <v>191660.06666666671</v>
      </c>
      <c r="M57">
        <v>194837.8</v>
      </c>
      <c r="N57">
        <v>193836.79999999999</v>
      </c>
      <c r="O57">
        <v>191736.56666666671</v>
      </c>
      <c r="P57">
        <v>191077.5</v>
      </c>
      <c r="Q57">
        <v>197395.4</v>
      </c>
      <c r="R57">
        <v>186242.5</v>
      </c>
      <c r="S57">
        <v>196223.83333333331</v>
      </c>
      <c r="T57">
        <v>192480.9666666667</v>
      </c>
      <c r="U57">
        <v>187601.0333333333</v>
      </c>
      <c r="V57">
        <v>314099.26666666672</v>
      </c>
      <c r="W57">
        <v>357628.73333333328</v>
      </c>
      <c r="X57">
        <v>350757.36666666658</v>
      </c>
      <c r="Y57">
        <v>356425.16666666669</v>
      </c>
      <c r="Z57">
        <v>361208.13333333342</v>
      </c>
      <c r="AA57">
        <v>352169.63333333342</v>
      </c>
      <c r="AB57">
        <v>346534.3</v>
      </c>
      <c r="AC57">
        <v>319128.3</v>
      </c>
      <c r="AD57">
        <v>351529.5</v>
      </c>
      <c r="AE57">
        <v>353380.1</v>
      </c>
      <c r="AF57">
        <v>350539.43333333329</v>
      </c>
      <c r="AG57">
        <v>363086.7</v>
      </c>
      <c r="AH57">
        <v>358523.26666666672</v>
      </c>
      <c r="AI57">
        <v>345398.43333333329</v>
      </c>
      <c r="AJ57">
        <v>347246.03333333333</v>
      </c>
      <c r="AK57">
        <v>352437.93333333329</v>
      </c>
      <c r="AL57">
        <v>356433.2</v>
      </c>
      <c r="AM57">
        <v>363467.06666666671</v>
      </c>
      <c r="AN57">
        <v>346990.3</v>
      </c>
      <c r="AO57">
        <v>328999.93333333329</v>
      </c>
      <c r="AP57">
        <v>615140.16666666663</v>
      </c>
      <c r="AQ57">
        <v>634470.26666666672</v>
      </c>
      <c r="AR57">
        <v>584300.6</v>
      </c>
      <c r="AS57">
        <v>638955.4</v>
      </c>
      <c r="AT57">
        <v>624055.46666666667</v>
      </c>
      <c r="AU57">
        <v>610589.66666666663</v>
      </c>
      <c r="AV57">
        <v>635573.73333333328</v>
      </c>
      <c r="AW57">
        <v>614206.76666666672</v>
      </c>
      <c r="AX57">
        <v>632090.6333333333</v>
      </c>
      <c r="AY57">
        <v>564628.16666666663</v>
      </c>
      <c r="AZ57">
        <v>622003.06666666665</v>
      </c>
      <c r="BA57">
        <v>634968.66666666663</v>
      </c>
      <c r="BB57">
        <v>612463.56666666665</v>
      </c>
      <c r="BC57">
        <v>628124.33333333337</v>
      </c>
      <c r="BD57">
        <v>626071.56666666665</v>
      </c>
      <c r="BE57">
        <v>619962.3666666667</v>
      </c>
      <c r="BF57">
        <v>623174.5</v>
      </c>
      <c r="BG57">
        <v>604044.30000000005</v>
      </c>
      <c r="BH57">
        <v>599790.1</v>
      </c>
      <c r="BI57">
        <v>627631.73333333328</v>
      </c>
    </row>
    <row r="58" spans="1:61" x14ac:dyDescent="0.25">
      <c r="A58" t="s">
        <v>11</v>
      </c>
      <c r="B58">
        <v>195934.83333333331</v>
      </c>
      <c r="C58">
        <v>202006.4666666667</v>
      </c>
      <c r="D58">
        <v>182771.26666666669</v>
      </c>
      <c r="E58">
        <v>189368.83333333331</v>
      </c>
      <c r="F58">
        <v>187973.6333333333</v>
      </c>
      <c r="G58">
        <v>208041.9666666667</v>
      </c>
      <c r="H58">
        <v>200252.3</v>
      </c>
      <c r="I58">
        <v>179784.0333333333</v>
      </c>
      <c r="J58">
        <v>201449.66666666669</v>
      </c>
      <c r="K58">
        <v>198629.8666666667</v>
      </c>
      <c r="L58">
        <v>203595.26666666669</v>
      </c>
      <c r="M58">
        <v>201469.43333333329</v>
      </c>
      <c r="N58">
        <v>192294.93333333329</v>
      </c>
      <c r="O58">
        <v>207470.33333333331</v>
      </c>
      <c r="P58">
        <v>195817.43333333329</v>
      </c>
      <c r="Q58">
        <v>203112.16666666669</v>
      </c>
      <c r="R58">
        <v>177851.4666666667</v>
      </c>
      <c r="S58">
        <v>199109.3666666667</v>
      </c>
      <c r="T58">
        <v>186878.5333333333</v>
      </c>
      <c r="U58">
        <v>164910.79999999999</v>
      </c>
      <c r="V58">
        <v>368337.5</v>
      </c>
      <c r="W58">
        <v>367917.1</v>
      </c>
      <c r="X58">
        <v>355065.93333333329</v>
      </c>
      <c r="Y58">
        <v>342938.36666666658</v>
      </c>
      <c r="Z58">
        <v>360200.1</v>
      </c>
      <c r="AA58">
        <v>355736.4</v>
      </c>
      <c r="AB58">
        <v>359199.2</v>
      </c>
      <c r="AC58">
        <v>365710.03333333333</v>
      </c>
      <c r="AD58">
        <v>326903.40000000002</v>
      </c>
      <c r="AE58">
        <v>339607.9</v>
      </c>
      <c r="AF58">
        <v>359578.03333333333</v>
      </c>
      <c r="AG58">
        <v>356275.4</v>
      </c>
      <c r="AH58">
        <v>328601.93333333329</v>
      </c>
      <c r="AI58">
        <v>350878.46666666667</v>
      </c>
      <c r="AJ58">
        <v>305213.3</v>
      </c>
      <c r="AK58">
        <v>329309.03333333333</v>
      </c>
      <c r="AL58">
        <v>327451.13333333342</v>
      </c>
      <c r="AM58">
        <v>345930.03333333333</v>
      </c>
      <c r="AN58">
        <v>348520</v>
      </c>
      <c r="AO58">
        <v>317631.86666666658</v>
      </c>
      <c r="AP58">
        <v>616674.56666666665</v>
      </c>
      <c r="AQ58">
        <v>594414.96666666667</v>
      </c>
      <c r="AR58">
        <v>638790.03333333333</v>
      </c>
      <c r="AS58">
        <v>597544.66666666663</v>
      </c>
      <c r="AT58">
        <v>607490.69999999995</v>
      </c>
      <c r="AU58">
        <v>628791.6</v>
      </c>
      <c r="AV58">
        <v>626914.9</v>
      </c>
      <c r="AW58">
        <v>617286.26666666672</v>
      </c>
      <c r="AX58">
        <v>623383.1</v>
      </c>
      <c r="AY58">
        <v>619143.16666666663</v>
      </c>
      <c r="AZ58">
        <v>623312.80000000005</v>
      </c>
      <c r="BA58">
        <v>606106.9</v>
      </c>
      <c r="BB58">
        <v>610541.33333333337</v>
      </c>
      <c r="BC58">
        <v>615671.19999999995</v>
      </c>
      <c r="BD58">
        <v>644525.80000000005</v>
      </c>
      <c r="BE58">
        <v>654686.80000000005</v>
      </c>
      <c r="BF58">
        <v>654864.16666666663</v>
      </c>
      <c r="BG58">
        <v>629810.3666666667</v>
      </c>
      <c r="BH58">
        <v>594460.76666666672</v>
      </c>
      <c r="BI58">
        <v>602794.56666666665</v>
      </c>
    </row>
    <row r="59" spans="1:61" ht="15" customHeight="1" x14ac:dyDescent="0.25">
      <c r="A59" s="1" t="s">
        <v>12</v>
      </c>
      <c r="B59">
        <v>185775.1333333333</v>
      </c>
      <c r="C59">
        <v>186690.66666666669</v>
      </c>
      <c r="D59">
        <v>201631.7</v>
      </c>
      <c r="E59">
        <v>168016.1</v>
      </c>
      <c r="F59">
        <v>203842.8666666667</v>
      </c>
      <c r="G59">
        <v>196317.3</v>
      </c>
      <c r="H59">
        <v>201722.1333333333</v>
      </c>
      <c r="I59">
        <v>184189.5333333333</v>
      </c>
      <c r="J59">
        <v>186146.76666666669</v>
      </c>
      <c r="K59">
        <v>206355.26666666669</v>
      </c>
      <c r="L59">
        <v>192153.0333333333</v>
      </c>
      <c r="M59">
        <v>205249</v>
      </c>
      <c r="N59">
        <v>160758.26666666669</v>
      </c>
      <c r="O59">
        <v>195918.4666666667</v>
      </c>
      <c r="P59">
        <v>191125.33333333331</v>
      </c>
      <c r="Q59">
        <v>204536.5</v>
      </c>
      <c r="R59">
        <v>186802.43333333329</v>
      </c>
      <c r="S59">
        <v>200254.93333333329</v>
      </c>
      <c r="T59">
        <v>200436.1</v>
      </c>
      <c r="U59">
        <v>198707.1333333333</v>
      </c>
      <c r="V59">
        <v>345862.33333333331</v>
      </c>
      <c r="W59">
        <v>353844.53333333333</v>
      </c>
      <c r="X59">
        <v>356736.03333333333</v>
      </c>
      <c r="Y59">
        <v>352826.33333333331</v>
      </c>
      <c r="Z59">
        <v>351552.23333333328</v>
      </c>
      <c r="AA59">
        <v>355438.76666666672</v>
      </c>
      <c r="AB59">
        <v>351257.26666666672</v>
      </c>
      <c r="AC59">
        <v>355426.23333333328</v>
      </c>
      <c r="AD59">
        <v>359829.2</v>
      </c>
      <c r="AE59">
        <v>345088.9</v>
      </c>
      <c r="AF59">
        <v>357821.46666666667</v>
      </c>
      <c r="AG59">
        <v>356011.93333333329</v>
      </c>
      <c r="AH59">
        <v>350203.16666666669</v>
      </c>
      <c r="AI59">
        <v>317178</v>
      </c>
      <c r="AJ59">
        <v>315654.06666666671</v>
      </c>
      <c r="AK59">
        <v>347949.46666666667</v>
      </c>
      <c r="AL59">
        <v>348027.73333333328</v>
      </c>
      <c r="AM59">
        <v>326528.86666666658</v>
      </c>
      <c r="AN59">
        <v>337804.79999999999</v>
      </c>
      <c r="AO59">
        <v>348784.86666666658</v>
      </c>
      <c r="AP59">
        <v>626420.69999999995</v>
      </c>
      <c r="AQ59">
        <v>624431.8666666667</v>
      </c>
      <c r="AR59">
        <v>628215.96666666667</v>
      </c>
      <c r="AS59">
        <v>636936.69999999995</v>
      </c>
      <c r="AT59">
        <v>660068.80000000005</v>
      </c>
      <c r="AU59">
        <v>621589.03333333333</v>
      </c>
      <c r="AV59">
        <v>647904.4</v>
      </c>
      <c r="AW59">
        <v>624658.03333333333</v>
      </c>
      <c r="AX59">
        <v>591981.6</v>
      </c>
      <c r="AY59">
        <v>626261.6333333333</v>
      </c>
      <c r="AZ59">
        <v>635940.16666666663</v>
      </c>
      <c r="BA59">
        <v>618970.76666666672</v>
      </c>
      <c r="BB59">
        <v>641111.06666666665</v>
      </c>
      <c r="BC59">
        <v>616938.4</v>
      </c>
      <c r="BD59">
        <v>623200.66666666663</v>
      </c>
      <c r="BE59">
        <v>604579.19999999995</v>
      </c>
      <c r="BF59">
        <v>617902.53333333333</v>
      </c>
      <c r="BG59">
        <v>634968.8666666667</v>
      </c>
      <c r="BH59">
        <v>590633.53333333333</v>
      </c>
      <c r="BI59">
        <v>618248.73333333328</v>
      </c>
    </row>
    <row r="60" spans="1:61" x14ac:dyDescent="0.25">
      <c r="A60" t="s">
        <v>13</v>
      </c>
      <c r="B60">
        <v>204743.93333333329</v>
      </c>
      <c r="C60">
        <v>201397.73333333331</v>
      </c>
      <c r="D60">
        <v>155071.06666666671</v>
      </c>
      <c r="E60">
        <v>192011.7</v>
      </c>
      <c r="F60">
        <v>184526.9666666667</v>
      </c>
      <c r="G60">
        <v>188859.33333333331</v>
      </c>
      <c r="H60">
        <v>196170.9</v>
      </c>
      <c r="I60">
        <v>201998.8</v>
      </c>
      <c r="J60">
        <v>206665.4666666667</v>
      </c>
      <c r="K60">
        <v>206545.3666666667</v>
      </c>
      <c r="L60">
        <v>201616.3666666667</v>
      </c>
      <c r="M60">
        <v>197257.3666666667</v>
      </c>
      <c r="N60">
        <v>202138</v>
      </c>
      <c r="O60">
        <v>203854.3666666667</v>
      </c>
      <c r="P60">
        <v>182742.83333333331</v>
      </c>
      <c r="Q60">
        <v>203507.93333333329</v>
      </c>
      <c r="R60">
        <v>201466.8</v>
      </c>
      <c r="S60">
        <v>189574.16666666669</v>
      </c>
      <c r="T60">
        <v>179522.5</v>
      </c>
      <c r="U60">
        <v>215389.2</v>
      </c>
      <c r="V60">
        <v>344036.43333333329</v>
      </c>
      <c r="W60">
        <v>348341.46666666667</v>
      </c>
      <c r="X60">
        <v>337402.96666666667</v>
      </c>
      <c r="Y60">
        <v>372613.9</v>
      </c>
      <c r="Z60">
        <v>352380.73333333328</v>
      </c>
      <c r="AA60">
        <v>342629.86666666658</v>
      </c>
      <c r="AB60">
        <v>326385.46666666667</v>
      </c>
      <c r="AC60">
        <v>354002.46666666667</v>
      </c>
      <c r="AD60">
        <v>347781.1</v>
      </c>
      <c r="AE60">
        <v>326213.76666666672</v>
      </c>
      <c r="AF60">
        <v>353568.76666666672</v>
      </c>
      <c r="AG60">
        <v>355251.93333333329</v>
      </c>
      <c r="AH60">
        <v>331119.33333333331</v>
      </c>
      <c r="AI60">
        <v>341490.86666666658</v>
      </c>
      <c r="AJ60">
        <v>321860.3</v>
      </c>
      <c r="AK60">
        <v>356769.03333333333</v>
      </c>
      <c r="AL60">
        <v>340171.9</v>
      </c>
      <c r="AM60">
        <v>353232.26666666672</v>
      </c>
      <c r="AN60">
        <v>336274.76666666672</v>
      </c>
      <c r="AO60">
        <v>331091.36666666658</v>
      </c>
      <c r="AP60">
        <v>618236.19999999995</v>
      </c>
      <c r="AQ60">
        <v>612644.43333333335</v>
      </c>
      <c r="AR60">
        <v>609656.5</v>
      </c>
      <c r="AS60">
        <v>623938.33333333337</v>
      </c>
      <c r="AT60">
        <v>635677.33333333337</v>
      </c>
      <c r="AU60">
        <v>641499.5</v>
      </c>
      <c r="AV60">
        <v>629347.1</v>
      </c>
      <c r="AW60">
        <v>644693.23333333328</v>
      </c>
      <c r="AX60">
        <v>619614.83333333337</v>
      </c>
      <c r="AY60">
        <v>604286.96666666667</v>
      </c>
      <c r="AZ60">
        <v>616410.06666666665</v>
      </c>
      <c r="BA60">
        <v>635967.80000000005</v>
      </c>
      <c r="BB60">
        <v>609113.53333333333</v>
      </c>
      <c r="BC60">
        <v>628439.5</v>
      </c>
      <c r="BD60">
        <v>624484.73333333328</v>
      </c>
      <c r="BE60">
        <v>622143.4</v>
      </c>
      <c r="BF60">
        <v>647538.73333333328</v>
      </c>
      <c r="BG60">
        <v>633591.8666666667</v>
      </c>
      <c r="BH60">
        <v>579358.66666666663</v>
      </c>
      <c r="BI60">
        <v>635890.76666666672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I60"/>
  <sheetViews>
    <sheetView zoomScaleNormal="100" workbookViewId="0">
      <selection sqref="A1:XFD1048576"/>
    </sheetView>
  </sheetViews>
  <sheetFormatPr defaultColWidth="8.5703125" defaultRowHeight="15" x14ac:dyDescent="0.25"/>
  <cols>
    <col min="1" max="1" width="24" customWidth="1"/>
    <col min="2" max="2" width="11" customWidth="1"/>
    <col min="3" max="3" width="20" customWidth="1"/>
    <col min="4" max="4" width="12" customWidth="1"/>
    <col min="5" max="5" width="11" customWidth="1"/>
    <col min="6" max="6" width="20" customWidth="1"/>
    <col min="7" max="10" width="10" customWidth="1"/>
    <col min="11" max="11" width="11" customWidth="1"/>
    <col min="12" max="13" width="10" customWidth="1"/>
    <col min="14" max="14" width="11" customWidth="1"/>
    <col min="15" max="18" width="10" customWidth="1"/>
    <col min="19" max="19" width="11" customWidth="1"/>
    <col min="20" max="20" width="10" customWidth="1"/>
    <col min="21" max="21" width="11" customWidth="1"/>
    <col min="22" max="22" width="10" customWidth="1"/>
    <col min="23" max="23" width="11" customWidth="1"/>
    <col min="24" max="24" width="10" customWidth="1"/>
    <col min="25" max="26" width="11" customWidth="1"/>
    <col min="27" max="27" width="10" customWidth="1"/>
    <col min="28" max="28" width="11" customWidth="1"/>
    <col min="29" max="29" width="10" customWidth="1"/>
    <col min="30" max="31" width="11" customWidth="1"/>
    <col min="32" max="33" width="10" customWidth="1"/>
    <col min="34" max="52" width="11" customWidth="1"/>
    <col min="53" max="53" width="10" customWidth="1"/>
    <col min="54" max="57" width="11" customWidth="1"/>
    <col min="58" max="59" width="10" customWidth="1"/>
    <col min="60" max="61" width="11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1</v>
      </c>
      <c r="C2">
        <v>522634.7</v>
      </c>
      <c r="D2">
        <v>0</v>
      </c>
      <c r="E2">
        <v>1090331</v>
      </c>
      <c r="F2">
        <v>375885.77966253262</v>
      </c>
    </row>
    <row r="3" spans="1:6" x14ac:dyDescent="0.25">
      <c r="A3" t="s">
        <v>6</v>
      </c>
      <c r="B3">
        <v>2</v>
      </c>
      <c r="C3">
        <v>1168546.8</v>
      </c>
      <c r="D3">
        <v>0</v>
      </c>
      <c r="E3">
        <v>2675083</v>
      </c>
      <c r="F3">
        <v>643152.76592249842</v>
      </c>
    </row>
    <row r="4" spans="1:6" x14ac:dyDescent="0.25">
      <c r="A4" t="s">
        <v>6</v>
      </c>
      <c r="B4">
        <v>3</v>
      </c>
      <c r="C4">
        <v>1272526.25</v>
      </c>
      <c r="D4">
        <v>96722</v>
      </c>
      <c r="E4">
        <v>3031419</v>
      </c>
      <c r="F4">
        <v>740141.26329173648</v>
      </c>
    </row>
    <row r="5" spans="1:6" x14ac:dyDescent="0.25">
      <c r="A5" t="s">
        <v>7</v>
      </c>
      <c r="B5">
        <v>1</v>
      </c>
      <c r="C5">
        <v>307149.5</v>
      </c>
      <c r="D5">
        <v>0</v>
      </c>
      <c r="E5">
        <v>1628152</v>
      </c>
      <c r="F5">
        <v>381348.51690317353</v>
      </c>
    </row>
    <row r="6" spans="1:6" x14ac:dyDescent="0.25">
      <c r="A6" t="s">
        <v>7</v>
      </c>
      <c r="B6">
        <v>2</v>
      </c>
      <c r="C6">
        <v>814585.15</v>
      </c>
      <c r="D6">
        <v>0</v>
      </c>
      <c r="E6">
        <v>2099877</v>
      </c>
      <c r="F6">
        <v>492937.26058224437</v>
      </c>
    </row>
    <row r="7" spans="1:6" x14ac:dyDescent="0.25">
      <c r="A7" t="s">
        <v>7</v>
      </c>
      <c r="B7">
        <v>3</v>
      </c>
      <c r="C7">
        <v>1086681.5</v>
      </c>
      <c r="D7">
        <v>15342</v>
      </c>
      <c r="E7">
        <v>2436210</v>
      </c>
      <c r="F7">
        <v>601240.84039746504</v>
      </c>
    </row>
    <row r="8" spans="1:6" x14ac:dyDescent="0.25">
      <c r="A8" t="s">
        <v>8</v>
      </c>
      <c r="B8">
        <v>1</v>
      </c>
      <c r="C8">
        <v>0</v>
      </c>
      <c r="D8">
        <v>0</v>
      </c>
      <c r="E8">
        <v>0</v>
      </c>
      <c r="F8">
        <v>0</v>
      </c>
    </row>
    <row r="9" spans="1:6" x14ac:dyDescent="0.25">
      <c r="A9" t="s">
        <v>8</v>
      </c>
      <c r="B9">
        <v>2</v>
      </c>
      <c r="C9">
        <v>15142</v>
      </c>
      <c r="D9">
        <v>15142</v>
      </c>
      <c r="E9">
        <v>15142</v>
      </c>
      <c r="F9">
        <v>0</v>
      </c>
    </row>
    <row r="10" spans="1:6" x14ac:dyDescent="0.25">
      <c r="A10" t="s">
        <v>8</v>
      </c>
      <c r="B10">
        <v>3</v>
      </c>
      <c r="C10">
        <v>326934</v>
      </c>
      <c r="D10">
        <v>326934</v>
      </c>
      <c r="E10">
        <v>326934</v>
      </c>
      <c r="F10">
        <v>0</v>
      </c>
    </row>
    <row r="11" spans="1:6" x14ac:dyDescent="0.25">
      <c r="A11" t="s">
        <v>9</v>
      </c>
      <c r="B11">
        <v>1</v>
      </c>
      <c r="C11">
        <v>200746.65</v>
      </c>
      <c r="D11">
        <v>0</v>
      </c>
      <c r="E11">
        <v>765400</v>
      </c>
      <c r="F11">
        <v>235683.00436333439</v>
      </c>
    </row>
    <row r="12" spans="1:6" ht="15" customHeight="1" x14ac:dyDescent="0.25">
      <c r="A12" s="1" t="s">
        <v>9</v>
      </c>
      <c r="B12">
        <v>2</v>
      </c>
      <c r="C12">
        <v>258405.05</v>
      </c>
      <c r="D12">
        <v>0</v>
      </c>
      <c r="E12">
        <v>1023593</v>
      </c>
      <c r="F12">
        <v>316711.13717305148</v>
      </c>
    </row>
    <row r="13" spans="1:6" x14ac:dyDescent="0.25">
      <c r="A13" t="s">
        <v>9</v>
      </c>
      <c r="B13">
        <v>3</v>
      </c>
      <c r="C13">
        <v>500056.85</v>
      </c>
      <c r="D13">
        <v>3842</v>
      </c>
      <c r="E13">
        <v>1384651</v>
      </c>
      <c r="F13">
        <v>382260.71476941952</v>
      </c>
    </row>
    <row r="14" spans="1:6" x14ac:dyDescent="0.25">
      <c r="A14" t="s">
        <v>10</v>
      </c>
      <c r="B14">
        <v>1</v>
      </c>
      <c r="C14">
        <v>15213.95</v>
      </c>
      <c r="D14">
        <v>0</v>
      </c>
      <c r="E14">
        <v>254750</v>
      </c>
      <c r="F14">
        <v>55083.857045848737</v>
      </c>
    </row>
    <row r="15" spans="1:6" x14ac:dyDescent="0.25">
      <c r="A15" t="s">
        <v>10</v>
      </c>
      <c r="B15">
        <v>2</v>
      </c>
      <c r="C15">
        <v>182651.15</v>
      </c>
      <c r="D15">
        <v>0</v>
      </c>
      <c r="E15">
        <v>997617</v>
      </c>
      <c r="F15">
        <v>324782.98552791751</v>
      </c>
    </row>
    <row r="16" spans="1:6" x14ac:dyDescent="0.25">
      <c r="A16" t="s">
        <v>10</v>
      </c>
      <c r="B16">
        <v>3</v>
      </c>
      <c r="C16">
        <v>598669.44999999995</v>
      </c>
      <c r="D16">
        <v>0</v>
      </c>
      <c r="E16">
        <v>1821911</v>
      </c>
      <c r="F16">
        <v>427305.2203661307</v>
      </c>
    </row>
    <row r="17" spans="1:6" x14ac:dyDescent="0.25">
      <c r="A17" t="s">
        <v>11</v>
      </c>
      <c r="B17">
        <v>1</v>
      </c>
      <c r="C17">
        <v>210146.95</v>
      </c>
      <c r="D17">
        <v>0</v>
      </c>
      <c r="E17">
        <v>1084268</v>
      </c>
      <c r="F17">
        <v>300230.65456852922</v>
      </c>
    </row>
    <row r="18" spans="1:6" x14ac:dyDescent="0.25">
      <c r="A18" t="s">
        <v>11</v>
      </c>
      <c r="B18">
        <v>2</v>
      </c>
      <c r="C18">
        <v>404985.45</v>
      </c>
      <c r="D18">
        <v>0</v>
      </c>
      <c r="E18">
        <v>1290868</v>
      </c>
      <c r="F18">
        <v>415976.01680006448</v>
      </c>
    </row>
    <row r="19" spans="1:6" x14ac:dyDescent="0.25">
      <c r="A19" t="s">
        <v>11</v>
      </c>
      <c r="B19">
        <v>3</v>
      </c>
      <c r="C19">
        <v>540432.1</v>
      </c>
      <c r="D19">
        <v>9068</v>
      </c>
      <c r="E19">
        <v>1440068</v>
      </c>
      <c r="F19">
        <v>386239.6189092854</v>
      </c>
    </row>
    <row r="20" spans="1:6" ht="15" customHeight="1" x14ac:dyDescent="0.25">
      <c r="A20" s="1" t="s">
        <v>12</v>
      </c>
      <c r="B20">
        <v>1</v>
      </c>
      <c r="C20">
        <v>205786.65</v>
      </c>
      <c r="D20">
        <v>0</v>
      </c>
      <c r="E20">
        <v>829742</v>
      </c>
      <c r="F20">
        <v>260042.17995899721</v>
      </c>
    </row>
    <row r="21" spans="1:6" x14ac:dyDescent="0.25">
      <c r="A21" t="s">
        <v>12</v>
      </c>
      <c r="B21">
        <v>2</v>
      </c>
      <c r="C21">
        <v>282384.15000000002</v>
      </c>
      <c r="D21">
        <v>4075</v>
      </c>
      <c r="E21">
        <v>1089284</v>
      </c>
      <c r="F21">
        <v>323807.67117060011</v>
      </c>
    </row>
    <row r="22" spans="1:6" x14ac:dyDescent="0.25">
      <c r="A22" t="s">
        <v>12</v>
      </c>
      <c r="B22">
        <v>3</v>
      </c>
      <c r="C22">
        <v>435967.7</v>
      </c>
      <c r="D22">
        <v>0</v>
      </c>
      <c r="E22">
        <v>1305736</v>
      </c>
      <c r="F22">
        <v>411906.61448125588</v>
      </c>
    </row>
    <row r="23" spans="1:6" ht="15" customHeight="1" x14ac:dyDescent="0.25">
      <c r="A23" s="1" t="s">
        <v>13</v>
      </c>
      <c r="B23">
        <v>1</v>
      </c>
      <c r="C23">
        <v>178842</v>
      </c>
      <c r="D23">
        <v>0</v>
      </c>
      <c r="E23">
        <v>1354834</v>
      </c>
      <c r="F23">
        <v>331235.13711289747</v>
      </c>
    </row>
    <row r="24" spans="1:6" x14ac:dyDescent="0.25">
      <c r="A24" t="s">
        <v>13</v>
      </c>
      <c r="B24">
        <v>2</v>
      </c>
      <c r="C24">
        <v>374363.9</v>
      </c>
      <c r="D24">
        <v>0</v>
      </c>
      <c r="E24">
        <v>1152277</v>
      </c>
      <c r="F24">
        <v>365590.58340948832</v>
      </c>
    </row>
    <row r="25" spans="1:6" x14ac:dyDescent="0.25">
      <c r="A25" t="s">
        <v>13</v>
      </c>
      <c r="B25">
        <v>3</v>
      </c>
      <c r="C25">
        <v>461718.4</v>
      </c>
      <c r="D25">
        <v>0</v>
      </c>
      <c r="E25">
        <v>1464210</v>
      </c>
      <c r="F25">
        <v>338515.90836937039</v>
      </c>
    </row>
    <row r="28" spans="1:6" ht="15" customHeight="1" x14ac:dyDescent="0.25">
      <c r="A28" s="4" t="s">
        <v>14</v>
      </c>
    </row>
    <row r="29" spans="1:6" x14ac:dyDescent="0.25">
      <c r="A29" t="s">
        <v>6</v>
      </c>
      <c r="C29">
        <v>987902.58333333337</v>
      </c>
      <c r="D29">
        <v>0</v>
      </c>
      <c r="E29">
        <v>3031419</v>
      </c>
      <c r="F29">
        <v>691101.01943607081</v>
      </c>
    </row>
    <row r="30" spans="1:6" x14ac:dyDescent="0.25">
      <c r="A30" t="s">
        <v>7</v>
      </c>
      <c r="C30">
        <v>736138.71666666667</v>
      </c>
      <c r="D30">
        <v>0</v>
      </c>
      <c r="E30">
        <v>2436210</v>
      </c>
      <c r="F30">
        <v>595250.70803332084</v>
      </c>
    </row>
    <row r="31" spans="1:6" ht="15" customHeight="1" x14ac:dyDescent="0.25">
      <c r="A31" s="1" t="s">
        <v>8</v>
      </c>
      <c r="C31">
        <v>114025.3333333333</v>
      </c>
      <c r="D31">
        <v>0</v>
      </c>
      <c r="E31">
        <v>326934</v>
      </c>
      <c r="F31">
        <v>150676.02175381311</v>
      </c>
    </row>
    <row r="32" spans="1:6" x14ac:dyDescent="0.25">
      <c r="A32" t="s">
        <v>9</v>
      </c>
      <c r="C32">
        <v>319736.18333333329</v>
      </c>
      <c r="D32">
        <v>0</v>
      </c>
      <c r="E32">
        <v>1384651</v>
      </c>
      <c r="F32">
        <v>342739.56915669423</v>
      </c>
    </row>
    <row r="33" spans="1:6" x14ac:dyDescent="0.25">
      <c r="A33" t="s">
        <v>10</v>
      </c>
      <c r="C33">
        <v>265511.51666666672</v>
      </c>
      <c r="D33">
        <v>0</v>
      </c>
      <c r="E33">
        <v>1821911</v>
      </c>
      <c r="F33">
        <v>396491.65234337922</v>
      </c>
    </row>
    <row r="34" spans="1:6" x14ac:dyDescent="0.25">
      <c r="A34" t="s">
        <v>11</v>
      </c>
      <c r="C34">
        <v>385188.16666666669</v>
      </c>
      <c r="D34">
        <v>0</v>
      </c>
      <c r="E34">
        <v>1440068</v>
      </c>
      <c r="F34">
        <v>394752.06332879228</v>
      </c>
    </row>
    <row r="35" spans="1:6" ht="15" customHeight="1" x14ac:dyDescent="0.25">
      <c r="A35" s="1" t="s">
        <v>12</v>
      </c>
      <c r="C35">
        <v>308046.16666666669</v>
      </c>
      <c r="D35">
        <v>0</v>
      </c>
      <c r="E35">
        <v>1305736</v>
      </c>
      <c r="F35">
        <v>351008.00981307938</v>
      </c>
    </row>
    <row r="36" spans="1:6" ht="15" customHeight="1" x14ac:dyDescent="0.25">
      <c r="A36" s="1" t="s">
        <v>13</v>
      </c>
      <c r="C36">
        <v>338308.1</v>
      </c>
      <c r="D36">
        <v>0</v>
      </c>
      <c r="E36">
        <v>1464210</v>
      </c>
      <c r="F36">
        <v>365114.48928793549</v>
      </c>
    </row>
    <row r="39" spans="1:6" ht="15" customHeight="1" x14ac:dyDescent="0.25">
      <c r="A39" s="4" t="s">
        <v>15</v>
      </c>
    </row>
    <row r="40" spans="1:6" x14ac:dyDescent="0.25">
      <c r="A40" t="s">
        <v>16</v>
      </c>
      <c r="B40">
        <v>1</v>
      </c>
      <c r="C40">
        <v>2</v>
      </c>
      <c r="D40">
        <v>3</v>
      </c>
    </row>
    <row r="41" spans="1:6" x14ac:dyDescent="0.25">
      <c r="A41" t="s">
        <v>6</v>
      </c>
      <c r="B41">
        <v>522634.7</v>
      </c>
      <c r="C41">
        <v>1168546.8</v>
      </c>
      <c r="D41">
        <v>1272526.25</v>
      </c>
    </row>
    <row r="42" spans="1:6" x14ac:dyDescent="0.25">
      <c r="A42" t="s">
        <v>7</v>
      </c>
      <c r="B42">
        <v>307149.5</v>
      </c>
      <c r="C42">
        <v>814585.15</v>
      </c>
      <c r="D42">
        <v>1086681.5</v>
      </c>
    </row>
    <row r="43" spans="1:6" ht="15" customHeight="1" x14ac:dyDescent="0.25">
      <c r="A43" s="1" t="s">
        <v>8</v>
      </c>
      <c r="B43">
        <v>0</v>
      </c>
      <c r="C43">
        <v>15142</v>
      </c>
      <c r="D43">
        <v>326934</v>
      </c>
    </row>
    <row r="44" spans="1:6" x14ac:dyDescent="0.25">
      <c r="A44" t="s">
        <v>9</v>
      </c>
      <c r="B44">
        <v>200746.65</v>
      </c>
      <c r="C44">
        <v>258405.05</v>
      </c>
      <c r="D44">
        <v>500056.85</v>
      </c>
    </row>
    <row r="45" spans="1:6" x14ac:dyDescent="0.25">
      <c r="A45" t="s">
        <v>10</v>
      </c>
      <c r="B45">
        <v>15213.95</v>
      </c>
      <c r="C45">
        <v>182651.15</v>
      </c>
      <c r="D45">
        <v>598669.44999999995</v>
      </c>
    </row>
    <row r="46" spans="1:6" x14ac:dyDescent="0.25">
      <c r="A46" t="s">
        <v>11</v>
      </c>
      <c r="B46">
        <v>210146.95</v>
      </c>
      <c r="C46">
        <v>404985.45</v>
      </c>
      <c r="D46">
        <v>540432.1</v>
      </c>
    </row>
    <row r="47" spans="1:6" ht="15" customHeight="1" x14ac:dyDescent="0.25">
      <c r="A47" s="1" t="s">
        <v>12</v>
      </c>
      <c r="B47">
        <v>205786.65</v>
      </c>
      <c r="C47">
        <v>282384.15000000002</v>
      </c>
      <c r="D47">
        <v>435967.7</v>
      </c>
    </row>
    <row r="48" spans="1:6" x14ac:dyDescent="0.25">
      <c r="A48" t="s">
        <v>13</v>
      </c>
      <c r="B48">
        <v>178842</v>
      </c>
      <c r="C48">
        <v>374363.9</v>
      </c>
      <c r="D48">
        <v>461718.4</v>
      </c>
    </row>
    <row r="51" spans="1:61" ht="15" customHeight="1" x14ac:dyDescent="0.25">
      <c r="A51" s="4" t="s">
        <v>17</v>
      </c>
    </row>
    <row r="52" spans="1:61" x14ac:dyDescent="0.25">
      <c r="A52" t="s">
        <v>16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x14ac:dyDescent="0.25">
      <c r="A53" t="s">
        <v>6</v>
      </c>
      <c r="B53">
        <v>1090331</v>
      </c>
      <c r="C53">
        <v>517225</v>
      </c>
      <c r="D53">
        <v>22563</v>
      </c>
      <c r="E53">
        <v>893163</v>
      </c>
      <c r="F53">
        <v>0</v>
      </c>
      <c r="G53">
        <v>519190</v>
      </c>
      <c r="H53">
        <v>0</v>
      </c>
      <c r="I53">
        <v>13363</v>
      </c>
      <c r="J53">
        <v>22563</v>
      </c>
      <c r="K53">
        <v>1072934</v>
      </c>
      <c r="L53">
        <v>525765</v>
      </c>
      <c r="M53">
        <v>944326</v>
      </c>
      <c r="N53">
        <v>1079229</v>
      </c>
      <c r="O53">
        <v>975386</v>
      </c>
      <c r="P53">
        <v>319513</v>
      </c>
      <c r="Q53">
        <v>437813</v>
      </c>
      <c r="R53">
        <v>510370</v>
      </c>
      <c r="S53">
        <v>404313</v>
      </c>
      <c r="T53">
        <v>535210</v>
      </c>
      <c r="U53">
        <v>569437</v>
      </c>
      <c r="V53">
        <v>0</v>
      </c>
      <c r="W53">
        <v>1657117</v>
      </c>
      <c r="X53">
        <v>662650</v>
      </c>
      <c r="Y53">
        <v>1229401</v>
      </c>
      <c r="Z53">
        <v>1452461</v>
      </c>
      <c r="AA53">
        <v>997364</v>
      </c>
      <c r="AB53">
        <v>896101</v>
      </c>
      <c r="AC53">
        <v>913514</v>
      </c>
      <c r="AD53">
        <v>2313022</v>
      </c>
      <c r="AE53">
        <v>1565126</v>
      </c>
      <c r="AF53">
        <v>895451</v>
      </c>
      <c r="AG53">
        <v>931026</v>
      </c>
      <c r="AH53">
        <v>476513</v>
      </c>
      <c r="AI53">
        <v>0</v>
      </c>
      <c r="AJ53">
        <v>1449536</v>
      </c>
      <c r="AK53">
        <v>972526</v>
      </c>
      <c r="AL53">
        <v>1531293</v>
      </c>
      <c r="AM53">
        <v>1139328</v>
      </c>
      <c r="AN53">
        <v>2675083</v>
      </c>
      <c r="AO53">
        <v>1613424</v>
      </c>
      <c r="AP53">
        <v>471426</v>
      </c>
      <c r="AQ53">
        <v>1787528</v>
      </c>
      <c r="AR53">
        <v>1256564</v>
      </c>
      <c r="AS53">
        <v>1318313</v>
      </c>
      <c r="AT53">
        <v>987064</v>
      </c>
      <c r="AU53">
        <v>2380323</v>
      </c>
      <c r="AV53">
        <v>2159742</v>
      </c>
      <c r="AW53">
        <v>3031419</v>
      </c>
      <c r="AX53">
        <v>580125</v>
      </c>
      <c r="AY53">
        <v>690242</v>
      </c>
      <c r="AZ53">
        <v>1197230</v>
      </c>
      <c r="BA53">
        <v>565914</v>
      </c>
      <c r="BB53">
        <v>533488</v>
      </c>
      <c r="BC53">
        <v>1732236</v>
      </c>
      <c r="BD53">
        <v>1836589</v>
      </c>
      <c r="BE53">
        <v>1109763</v>
      </c>
      <c r="BF53">
        <v>979063</v>
      </c>
      <c r="BG53">
        <v>681126</v>
      </c>
      <c r="BH53">
        <v>96722</v>
      </c>
      <c r="BI53">
        <v>2055648</v>
      </c>
    </row>
    <row r="54" spans="1:61" x14ac:dyDescent="0.25">
      <c r="A54" t="s">
        <v>7</v>
      </c>
      <c r="B54">
        <v>0</v>
      </c>
      <c r="C54">
        <v>306917</v>
      </c>
      <c r="D54">
        <v>446009</v>
      </c>
      <c r="E54">
        <v>259134</v>
      </c>
      <c r="F54">
        <v>4459</v>
      </c>
      <c r="G54">
        <v>326093</v>
      </c>
      <c r="H54">
        <v>879486</v>
      </c>
      <c r="I54">
        <v>8984</v>
      </c>
      <c r="J54">
        <v>269609</v>
      </c>
      <c r="K54">
        <v>213009</v>
      </c>
      <c r="L54">
        <v>14684</v>
      </c>
      <c r="M54">
        <v>440810</v>
      </c>
      <c r="N54">
        <v>19017</v>
      </c>
      <c r="O54">
        <v>0</v>
      </c>
      <c r="P54">
        <v>495525</v>
      </c>
      <c r="Q54">
        <v>290801</v>
      </c>
      <c r="R54">
        <v>14792</v>
      </c>
      <c r="S54">
        <v>1628152</v>
      </c>
      <c r="T54">
        <v>510650</v>
      </c>
      <c r="U54">
        <v>14859</v>
      </c>
      <c r="V54">
        <v>412575</v>
      </c>
      <c r="W54">
        <v>829493</v>
      </c>
      <c r="X54">
        <v>884159</v>
      </c>
      <c r="Y54">
        <v>1065826</v>
      </c>
      <c r="Z54">
        <v>896835</v>
      </c>
      <c r="AA54">
        <v>747302</v>
      </c>
      <c r="AB54">
        <v>416000</v>
      </c>
      <c r="AC54">
        <v>945884</v>
      </c>
      <c r="AD54">
        <v>2099877</v>
      </c>
      <c r="AE54">
        <v>0</v>
      </c>
      <c r="AF54">
        <v>565226</v>
      </c>
      <c r="AG54">
        <v>864034</v>
      </c>
      <c r="AH54">
        <v>1067627</v>
      </c>
      <c r="AI54">
        <v>326484</v>
      </c>
      <c r="AJ54">
        <v>1473051</v>
      </c>
      <c r="AK54">
        <v>1103809</v>
      </c>
      <c r="AL54">
        <v>1479093</v>
      </c>
      <c r="AM54">
        <v>0</v>
      </c>
      <c r="AN54">
        <v>505760</v>
      </c>
      <c r="AO54">
        <v>608668</v>
      </c>
      <c r="AP54">
        <v>2436210</v>
      </c>
      <c r="AQ54">
        <v>2248103</v>
      </c>
      <c r="AR54">
        <v>1491118</v>
      </c>
      <c r="AS54">
        <v>429259</v>
      </c>
      <c r="AT54">
        <v>1492903</v>
      </c>
      <c r="AU54">
        <v>515318</v>
      </c>
      <c r="AV54">
        <v>1306770</v>
      </c>
      <c r="AW54">
        <v>1196952</v>
      </c>
      <c r="AX54">
        <v>15342</v>
      </c>
      <c r="AY54">
        <v>675659</v>
      </c>
      <c r="AZ54">
        <v>679969</v>
      </c>
      <c r="BA54">
        <v>905101</v>
      </c>
      <c r="BB54">
        <v>1758001</v>
      </c>
      <c r="BC54">
        <v>855268</v>
      </c>
      <c r="BD54">
        <v>752117</v>
      </c>
      <c r="BE54">
        <v>1028518</v>
      </c>
      <c r="BF54">
        <v>860584</v>
      </c>
      <c r="BG54">
        <v>557101</v>
      </c>
      <c r="BH54">
        <v>1701860</v>
      </c>
      <c r="BI54">
        <v>827477</v>
      </c>
    </row>
    <row r="55" spans="1:61" x14ac:dyDescent="0.25">
      <c r="A55" t="s">
        <v>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15142</v>
      </c>
      <c r="W55">
        <v>15142</v>
      </c>
      <c r="X55">
        <v>15142</v>
      </c>
      <c r="Y55">
        <v>15142</v>
      </c>
      <c r="Z55">
        <v>15142</v>
      </c>
      <c r="AA55">
        <v>15142</v>
      </c>
      <c r="AB55">
        <v>15142</v>
      </c>
      <c r="AC55">
        <v>15142</v>
      </c>
      <c r="AD55">
        <v>15142</v>
      </c>
      <c r="AE55">
        <v>15142</v>
      </c>
      <c r="AF55">
        <v>15142</v>
      </c>
      <c r="AG55">
        <v>15142</v>
      </c>
      <c r="AH55">
        <v>15142</v>
      </c>
      <c r="AI55">
        <v>15142</v>
      </c>
      <c r="AJ55">
        <v>15142</v>
      </c>
      <c r="AK55">
        <v>15142</v>
      </c>
      <c r="AL55">
        <v>15142</v>
      </c>
      <c r="AM55">
        <v>15142</v>
      </c>
      <c r="AN55">
        <v>15142</v>
      </c>
      <c r="AO55">
        <v>15142</v>
      </c>
      <c r="AP55">
        <v>326934</v>
      </c>
      <c r="AQ55">
        <v>326934</v>
      </c>
      <c r="AR55">
        <v>326934</v>
      </c>
      <c r="AS55">
        <v>326934</v>
      </c>
      <c r="AT55">
        <v>326934</v>
      </c>
      <c r="AU55">
        <v>326934</v>
      </c>
      <c r="AV55">
        <v>326934</v>
      </c>
      <c r="AW55">
        <v>326934</v>
      </c>
      <c r="AX55">
        <v>326934</v>
      </c>
      <c r="AY55">
        <v>326934</v>
      </c>
      <c r="AZ55">
        <v>326934</v>
      </c>
      <c r="BA55">
        <v>326934</v>
      </c>
      <c r="BB55">
        <v>326934</v>
      </c>
      <c r="BC55">
        <v>326934</v>
      </c>
      <c r="BD55">
        <v>326934</v>
      </c>
      <c r="BE55">
        <v>326934</v>
      </c>
      <c r="BF55">
        <v>326934</v>
      </c>
      <c r="BG55">
        <v>326934</v>
      </c>
      <c r="BH55">
        <v>326934</v>
      </c>
      <c r="BI55">
        <v>326934</v>
      </c>
    </row>
    <row r="56" spans="1:61" x14ac:dyDescent="0.25">
      <c r="A56" t="s">
        <v>9</v>
      </c>
      <c r="B56">
        <v>14684</v>
      </c>
      <c r="C56">
        <v>19317</v>
      </c>
      <c r="D56">
        <v>4675</v>
      </c>
      <c r="E56">
        <v>425309</v>
      </c>
      <c r="F56">
        <v>0</v>
      </c>
      <c r="G56">
        <v>4809</v>
      </c>
      <c r="H56">
        <v>0</v>
      </c>
      <c r="I56">
        <v>0</v>
      </c>
      <c r="J56">
        <v>440101</v>
      </c>
      <c r="K56">
        <v>363451</v>
      </c>
      <c r="L56">
        <v>441502</v>
      </c>
      <c r="M56">
        <v>432659</v>
      </c>
      <c r="N56">
        <v>0</v>
      </c>
      <c r="O56">
        <v>765400</v>
      </c>
      <c r="P56">
        <v>276742</v>
      </c>
      <c r="Q56">
        <v>521984</v>
      </c>
      <c r="R56">
        <v>304300</v>
      </c>
      <c r="S56">
        <v>0</v>
      </c>
      <c r="T56">
        <v>0</v>
      </c>
      <c r="U56">
        <v>0</v>
      </c>
      <c r="V56">
        <v>482467</v>
      </c>
      <c r="W56">
        <v>0</v>
      </c>
      <c r="X56">
        <v>330159</v>
      </c>
      <c r="Y56">
        <v>14550</v>
      </c>
      <c r="Z56">
        <v>8250</v>
      </c>
      <c r="AA56">
        <v>925342</v>
      </c>
      <c r="AB56">
        <v>4075</v>
      </c>
      <c r="AC56">
        <v>30367</v>
      </c>
      <c r="AD56">
        <v>0</v>
      </c>
      <c r="AE56">
        <v>411409</v>
      </c>
      <c r="AF56">
        <v>552209</v>
      </c>
      <c r="AG56">
        <v>30817</v>
      </c>
      <c r="AH56">
        <v>4409</v>
      </c>
      <c r="AI56">
        <v>8742</v>
      </c>
      <c r="AJ56">
        <v>265384</v>
      </c>
      <c r="AK56">
        <v>1023593</v>
      </c>
      <c r="AL56">
        <v>30243</v>
      </c>
      <c r="AM56">
        <v>4734</v>
      </c>
      <c r="AN56">
        <v>466942</v>
      </c>
      <c r="AO56">
        <v>574409</v>
      </c>
      <c r="AP56">
        <v>442626</v>
      </c>
      <c r="AQ56">
        <v>431575</v>
      </c>
      <c r="AR56">
        <v>1143785</v>
      </c>
      <c r="AS56">
        <v>3842</v>
      </c>
      <c r="AT56">
        <v>4550</v>
      </c>
      <c r="AU56">
        <v>8000</v>
      </c>
      <c r="AV56">
        <v>1145767</v>
      </c>
      <c r="AW56">
        <v>236884</v>
      </c>
      <c r="AX56">
        <v>464609</v>
      </c>
      <c r="AY56">
        <v>725817</v>
      </c>
      <c r="AZ56">
        <v>1384651</v>
      </c>
      <c r="BA56">
        <v>590893</v>
      </c>
      <c r="BB56">
        <v>436917</v>
      </c>
      <c r="BC56">
        <v>544718</v>
      </c>
      <c r="BD56">
        <v>290950</v>
      </c>
      <c r="BE56">
        <v>8784</v>
      </c>
      <c r="BF56">
        <v>428092</v>
      </c>
      <c r="BG56">
        <v>663067</v>
      </c>
      <c r="BH56">
        <v>760701</v>
      </c>
      <c r="BI56">
        <v>284909</v>
      </c>
    </row>
    <row r="57" spans="1:61" x14ac:dyDescent="0.25">
      <c r="A57" t="s">
        <v>10</v>
      </c>
      <c r="B57">
        <v>4109</v>
      </c>
      <c r="C57">
        <v>0</v>
      </c>
      <c r="D57">
        <v>0</v>
      </c>
      <c r="E57">
        <v>0</v>
      </c>
      <c r="F57">
        <v>4109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4525</v>
      </c>
      <c r="N57">
        <v>15192</v>
      </c>
      <c r="O57">
        <v>8717</v>
      </c>
      <c r="P57">
        <v>4109</v>
      </c>
      <c r="Q57">
        <v>0</v>
      </c>
      <c r="R57">
        <v>254750</v>
      </c>
      <c r="S57">
        <v>4384</v>
      </c>
      <c r="T57">
        <v>4384</v>
      </c>
      <c r="U57">
        <v>0</v>
      </c>
      <c r="V57">
        <v>997617</v>
      </c>
      <c r="W57">
        <v>0</v>
      </c>
      <c r="X57">
        <v>49601</v>
      </c>
      <c r="Y57">
        <v>0</v>
      </c>
      <c r="Z57">
        <v>15042</v>
      </c>
      <c r="AA57">
        <v>4117</v>
      </c>
      <c r="AB57">
        <v>402767</v>
      </c>
      <c r="AC57">
        <v>975901</v>
      </c>
      <c r="AD57">
        <v>8850</v>
      </c>
      <c r="AE57">
        <v>0</v>
      </c>
      <c r="AF57">
        <v>0</v>
      </c>
      <c r="AG57">
        <v>0</v>
      </c>
      <c r="AH57">
        <v>15242</v>
      </c>
      <c r="AI57">
        <v>539368</v>
      </c>
      <c r="AJ57">
        <v>4275</v>
      </c>
      <c r="AK57">
        <v>15225</v>
      </c>
      <c r="AL57">
        <v>0</v>
      </c>
      <c r="AM57">
        <v>0</v>
      </c>
      <c r="AN57">
        <v>14550</v>
      </c>
      <c r="AO57">
        <v>610468</v>
      </c>
      <c r="AP57">
        <v>428317</v>
      </c>
      <c r="AQ57">
        <v>444601</v>
      </c>
      <c r="AR57">
        <v>1316861</v>
      </c>
      <c r="AS57">
        <v>0</v>
      </c>
      <c r="AT57">
        <v>375985</v>
      </c>
      <c r="AU57">
        <v>562634</v>
      </c>
      <c r="AV57">
        <v>23926</v>
      </c>
      <c r="AW57">
        <v>966994</v>
      </c>
      <c r="AX57">
        <v>907368</v>
      </c>
      <c r="AY57">
        <v>1821911</v>
      </c>
      <c r="AZ57">
        <v>392017</v>
      </c>
      <c r="BA57">
        <v>305209</v>
      </c>
      <c r="BB57">
        <v>642601</v>
      </c>
      <c r="BC57">
        <v>407210</v>
      </c>
      <c r="BD57">
        <v>23917</v>
      </c>
      <c r="BE57">
        <v>546893</v>
      </c>
      <c r="BF57">
        <v>738900</v>
      </c>
      <c r="BG57">
        <v>851451</v>
      </c>
      <c r="BH57">
        <v>735101</v>
      </c>
      <c r="BI57">
        <v>481493</v>
      </c>
    </row>
    <row r="58" spans="1:61" x14ac:dyDescent="0.25">
      <c r="A58" t="s">
        <v>11</v>
      </c>
      <c r="B58">
        <v>291875</v>
      </c>
      <c r="C58">
        <v>0</v>
      </c>
      <c r="D58">
        <v>776309</v>
      </c>
      <c r="E58">
        <v>368001</v>
      </c>
      <c r="F58">
        <v>291875</v>
      </c>
      <c r="G58">
        <v>0</v>
      </c>
      <c r="H58">
        <v>0</v>
      </c>
      <c r="I58">
        <v>510650</v>
      </c>
      <c r="J58">
        <v>19125</v>
      </c>
      <c r="K58">
        <v>0</v>
      </c>
      <c r="L58">
        <v>0</v>
      </c>
      <c r="M58">
        <v>0</v>
      </c>
      <c r="N58">
        <v>15192</v>
      </c>
      <c r="O58">
        <v>0</v>
      </c>
      <c r="P58">
        <v>0</v>
      </c>
      <c r="Q58">
        <v>19434</v>
      </c>
      <c r="R58">
        <v>306667</v>
      </c>
      <c r="S58">
        <v>24018</v>
      </c>
      <c r="T58">
        <v>495525</v>
      </c>
      <c r="U58">
        <v>1084268</v>
      </c>
      <c r="V58">
        <v>0</v>
      </c>
      <c r="W58">
        <v>0</v>
      </c>
      <c r="X58">
        <v>250159</v>
      </c>
      <c r="Y58">
        <v>552209</v>
      </c>
      <c r="Z58">
        <v>0</v>
      </c>
      <c r="AA58">
        <v>0</v>
      </c>
      <c r="AB58">
        <v>4734</v>
      </c>
      <c r="AC58">
        <v>14550</v>
      </c>
      <c r="AD58">
        <v>818401</v>
      </c>
      <c r="AE58">
        <v>534934</v>
      </c>
      <c r="AF58">
        <v>15142</v>
      </c>
      <c r="AG58">
        <v>4075</v>
      </c>
      <c r="AH58">
        <v>950076</v>
      </c>
      <c r="AI58">
        <v>223334</v>
      </c>
      <c r="AJ58">
        <v>1290868</v>
      </c>
      <c r="AK58">
        <v>550609</v>
      </c>
      <c r="AL58">
        <v>975901</v>
      </c>
      <c r="AM58">
        <v>513617</v>
      </c>
      <c r="AN58">
        <v>315000</v>
      </c>
      <c r="AO58">
        <v>1086100</v>
      </c>
      <c r="AP58">
        <v>432042</v>
      </c>
      <c r="AQ58">
        <v>1000567</v>
      </c>
      <c r="AR58">
        <v>447884</v>
      </c>
      <c r="AS58">
        <v>1021619</v>
      </c>
      <c r="AT58">
        <v>849392</v>
      </c>
      <c r="AU58">
        <v>545809</v>
      </c>
      <c r="AV58">
        <v>213968</v>
      </c>
      <c r="AW58">
        <v>606126</v>
      </c>
      <c r="AX58">
        <v>262675</v>
      </c>
      <c r="AY58">
        <v>215576</v>
      </c>
      <c r="AZ58">
        <v>723642</v>
      </c>
      <c r="BA58">
        <v>724760</v>
      </c>
      <c r="BB58">
        <v>418417</v>
      </c>
      <c r="BC58">
        <v>356659</v>
      </c>
      <c r="BD58">
        <v>15609</v>
      </c>
      <c r="BE58">
        <v>20026</v>
      </c>
      <c r="BF58">
        <v>9068</v>
      </c>
      <c r="BG58">
        <v>373559</v>
      </c>
      <c r="BH58">
        <v>1440068</v>
      </c>
      <c r="BI58">
        <v>1131176</v>
      </c>
    </row>
    <row r="59" spans="1:61" ht="15" customHeight="1" x14ac:dyDescent="0.25">
      <c r="A59" s="1" t="s">
        <v>12</v>
      </c>
      <c r="B59">
        <v>311018</v>
      </c>
      <c r="C59">
        <v>291875</v>
      </c>
      <c r="D59">
        <v>0</v>
      </c>
      <c r="E59">
        <v>829742</v>
      </c>
      <c r="F59">
        <v>0</v>
      </c>
      <c r="G59">
        <v>0</v>
      </c>
      <c r="H59">
        <v>0</v>
      </c>
      <c r="I59">
        <v>562284</v>
      </c>
      <c r="J59">
        <v>348659</v>
      </c>
      <c r="K59">
        <v>29876</v>
      </c>
      <c r="L59">
        <v>14792</v>
      </c>
      <c r="M59">
        <v>19359</v>
      </c>
      <c r="N59">
        <v>773968</v>
      </c>
      <c r="O59">
        <v>4459</v>
      </c>
      <c r="P59">
        <v>304300</v>
      </c>
      <c r="Q59">
        <v>0</v>
      </c>
      <c r="R59">
        <v>348659</v>
      </c>
      <c r="S59">
        <v>0</v>
      </c>
      <c r="T59">
        <v>0</v>
      </c>
      <c r="U59">
        <v>276742</v>
      </c>
      <c r="V59">
        <v>230542</v>
      </c>
      <c r="W59">
        <v>466942</v>
      </c>
      <c r="X59">
        <v>15084</v>
      </c>
      <c r="Y59">
        <v>9134</v>
      </c>
      <c r="Z59">
        <v>315000</v>
      </c>
      <c r="AA59">
        <v>254609</v>
      </c>
      <c r="AB59">
        <v>19125</v>
      </c>
      <c r="AC59">
        <v>27951</v>
      </c>
      <c r="AD59">
        <v>15334</v>
      </c>
      <c r="AE59">
        <v>4342</v>
      </c>
      <c r="AF59">
        <v>15042</v>
      </c>
      <c r="AG59">
        <v>4075</v>
      </c>
      <c r="AH59">
        <v>8575</v>
      </c>
      <c r="AI59">
        <v>1089284</v>
      </c>
      <c r="AJ59">
        <v>1026718</v>
      </c>
      <c r="AK59">
        <v>471017</v>
      </c>
      <c r="AL59">
        <v>218950</v>
      </c>
      <c r="AM59">
        <v>630492</v>
      </c>
      <c r="AN59">
        <v>358525</v>
      </c>
      <c r="AO59">
        <v>466942</v>
      </c>
      <c r="AP59">
        <v>450467</v>
      </c>
      <c r="AQ59">
        <v>271267</v>
      </c>
      <c r="AR59">
        <v>0</v>
      </c>
      <c r="AS59">
        <v>43702</v>
      </c>
      <c r="AT59">
        <v>0</v>
      </c>
      <c r="AU59">
        <v>996552</v>
      </c>
      <c r="AV59">
        <v>17660</v>
      </c>
      <c r="AW59">
        <v>495276</v>
      </c>
      <c r="AX59">
        <v>1254468</v>
      </c>
      <c r="AY59">
        <v>466576</v>
      </c>
      <c r="AZ59">
        <v>3925</v>
      </c>
      <c r="BA59">
        <v>290643</v>
      </c>
      <c r="BB59">
        <v>0</v>
      </c>
      <c r="BC59">
        <v>802693</v>
      </c>
      <c r="BD59">
        <v>655109</v>
      </c>
      <c r="BE59">
        <v>813959</v>
      </c>
      <c r="BF59">
        <v>271243</v>
      </c>
      <c r="BG59">
        <v>46209</v>
      </c>
      <c r="BH59">
        <v>1305736</v>
      </c>
      <c r="BI59">
        <v>533869</v>
      </c>
    </row>
    <row r="60" spans="1:61" x14ac:dyDescent="0.25">
      <c r="A60" t="s">
        <v>13</v>
      </c>
      <c r="B60">
        <v>0</v>
      </c>
      <c r="C60">
        <v>4459</v>
      </c>
      <c r="D60">
        <v>1354834</v>
      </c>
      <c r="E60">
        <v>0</v>
      </c>
      <c r="F60">
        <v>437184</v>
      </c>
      <c r="G60">
        <v>306359</v>
      </c>
      <c r="H60">
        <v>0</v>
      </c>
      <c r="I60">
        <v>0</v>
      </c>
      <c r="J60">
        <v>14975</v>
      </c>
      <c r="K60">
        <v>4384</v>
      </c>
      <c r="L60">
        <v>0</v>
      </c>
      <c r="M60">
        <v>4384</v>
      </c>
      <c r="N60">
        <v>0</v>
      </c>
      <c r="O60">
        <v>14642</v>
      </c>
      <c r="P60">
        <v>561668</v>
      </c>
      <c r="Q60">
        <v>0</v>
      </c>
      <c r="R60">
        <v>0</v>
      </c>
      <c r="S60">
        <v>348659</v>
      </c>
      <c r="T60">
        <v>525292</v>
      </c>
      <c r="U60">
        <v>0</v>
      </c>
      <c r="V60">
        <v>4075</v>
      </c>
      <c r="W60">
        <v>452309</v>
      </c>
      <c r="X60">
        <v>431609</v>
      </c>
      <c r="Y60">
        <v>0</v>
      </c>
      <c r="Z60">
        <v>401942</v>
      </c>
      <c r="AA60">
        <v>227292</v>
      </c>
      <c r="AB60">
        <v>1152277</v>
      </c>
      <c r="AC60">
        <v>0</v>
      </c>
      <c r="AD60">
        <v>8709</v>
      </c>
      <c r="AE60">
        <v>882543</v>
      </c>
      <c r="AF60">
        <v>8200</v>
      </c>
      <c r="AG60">
        <v>0</v>
      </c>
      <c r="AH60">
        <v>725467</v>
      </c>
      <c r="AI60">
        <v>422784</v>
      </c>
      <c r="AJ60">
        <v>1024118</v>
      </c>
      <c r="AK60">
        <v>4217</v>
      </c>
      <c r="AL60">
        <v>589459</v>
      </c>
      <c r="AM60">
        <v>0</v>
      </c>
      <c r="AN60">
        <v>574409</v>
      </c>
      <c r="AO60">
        <v>577868</v>
      </c>
      <c r="AP60">
        <v>470142</v>
      </c>
      <c r="AQ60">
        <v>512075</v>
      </c>
      <c r="AR60">
        <v>740643</v>
      </c>
      <c r="AS60">
        <v>295468</v>
      </c>
      <c r="AT60">
        <v>370234</v>
      </c>
      <c r="AU60">
        <v>0</v>
      </c>
      <c r="AV60">
        <v>296976</v>
      </c>
      <c r="AW60">
        <v>0</v>
      </c>
      <c r="AX60">
        <v>508243</v>
      </c>
      <c r="AY60">
        <v>879518</v>
      </c>
      <c r="AZ60">
        <v>400635</v>
      </c>
      <c r="BA60">
        <v>426635</v>
      </c>
      <c r="BB60">
        <v>840311</v>
      </c>
      <c r="BC60">
        <v>213742</v>
      </c>
      <c r="BD60">
        <v>302109</v>
      </c>
      <c r="BE60">
        <v>447551</v>
      </c>
      <c r="BF60">
        <v>23675</v>
      </c>
      <c r="BG60">
        <v>751134</v>
      </c>
      <c r="BH60">
        <v>1464210</v>
      </c>
      <c r="BI60">
        <v>291067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P12"/>
  <sheetViews>
    <sheetView zoomScaleNormal="100" workbookViewId="0">
      <selection sqref="A1:XFD1048576"/>
    </sheetView>
  </sheetViews>
  <sheetFormatPr defaultColWidth="8.5703125" defaultRowHeight="15" x14ac:dyDescent="0.25"/>
  <sheetData>
    <row r="1" spans="1:94" ht="15" customHeight="1" x14ac:dyDescent="0.25">
      <c r="A1" s="4" t="s">
        <v>15</v>
      </c>
    </row>
    <row r="2" spans="1:94" x14ac:dyDescent="0.25">
      <c r="B2" t="s">
        <v>18</v>
      </c>
      <c r="C2" t="s">
        <v>18</v>
      </c>
      <c r="D2" t="s">
        <v>18</v>
      </c>
      <c r="E2" t="s">
        <v>18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  <c r="S2" t="s">
        <v>18</v>
      </c>
      <c r="T2" t="s">
        <v>18</v>
      </c>
      <c r="U2" t="s">
        <v>18</v>
      </c>
      <c r="V2" t="s">
        <v>18</v>
      </c>
      <c r="W2" t="s">
        <v>18</v>
      </c>
      <c r="X2" t="s">
        <v>18</v>
      </c>
      <c r="Y2" t="s">
        <v>18</v>
      </c>
      <c r="Z2" t="s">
        <v>18</v>
      </c>
      <c r="AA2" t="s">
        <v>18</v>
      </c>
      <c r="AB2" t="s">
        <v>18</v>
      </c>
      <c r="AC2" t="s">
        <v>18</v>
      </c>
      <c r="AD2" t="s">
        <v>18</v>
      </c>
      <c r="AE2" t="s">
        <v>18</v>
      </c>
      <c r="AF2" t="s">
        <v>19</v>
      </c>
      <c r="AG2" t="s">
        <v>18</v>
      </c>
      <c r="AH2" t="s">
        <v>18</v>
      </c>
      <c r="AI2" t="s">
        <v>18</v>
      </c>
      <c r="AJ2" t="s">
        <v>18</v>
      </c>
      <c r="AK2" t="s">
        <v>18</v>
      </c>
      <c r="AL2" t="s">
        <v>18</v>
      </c>
      <c r="AM2" t="s">
        <v>18</v>
      </c>
      <c r="AN2" t="s">
        <v>18</v>
      </c>
      <c r="AO2" t="s">
        <v>18</v>
      </c>
      <c r="AP2" t="s">
        <v>18</v>
      </c>
      <c r="AQ2" t="s">
        <v>18</v>
      </c>
      <c r="AR2" t="s">
        <v>18</v>
      </c>
      <c r="AS2" t="s">
        <v>18</v>
      </c>
      <c r="AT2" t="s">
        <v>18</v>
      </c>
      <c r="AU2" t="s">
        <v>18</v>
      </c>
      <c r="AV2" t="s">
        <v>18</v>
      </c>
      <c r="AW2" t="s">
        <v>18</v>
      </c>
      <c r="AX2" t="s">
        <v>18</v>
      </c>
      <c r="AY2" t="s">
        <v>18</v>
      </c>
      <c r="AZ2" t="s">
        <v>18</v>
      </c>
      <c r="BA2" t="s">
        <v>18</v>
      </c>
      <c r="BB2" t="s">
        <v>18</v>
      </c>
      <c r="BC2" t="s">
        <v>18</v>
      </c>
      <c r="BD2" t="s">
        <v>18</v>
      </c>
      <c r="BE2" t="s">
        <v>18</v>
      </c>
      <c r="BF2" t="s">
        <v>18</v>
      </c>
      <c r="BG2" t="s">
        <v>18</v>
      </c>
      <c r="BH2" t="s">
        <v>18</v>
      </c>
      <c r="BI2" t="s">
        <v>18</v>
      </c>
      <c r="BJ2" t="s">
        <v>18</v>
      </c>
      <c r="BK2" t="s">
        <v>19</v>
      </c>
      <c r="BL2" t="s">
        <v>18</v>
      </c>
      <c r="BM2" t="s">
        <v>18</v>
      </c>
      <c r="BN2" t="s">
        <v>18</v>
      </c>
      <c r="BO2" t="s">
        <v>18</v>
      </c>
      <c r="BP2" t="s">
        <v>18</v>
      </c>
      <c r="BQ2" t="s">
        <v>18</v>
      </c>
      <c r="BR2" t="s">
        <v>18</v>
      </c>
      <c r="BS2" t="s">
        <v>18</v>
      </c>
      <c r="BT2" t="s">
        <v>18</v>
      </c>
      <c r="BU2" t="s">
        <v>18</v>
      </c>
      <c r="BV2" t="s">
        <v>18</v>
      </c>
      <c r="BW2" t="s">
        <v>18</v>
      </c>
      <c r="BX2" t="s">
        <v>18</v>
      </c>
      <c r="BY2" t="s">
        <v>18</v>
      </c>
      <c r="BZ2" t="s">
        <v>18</v>
      </c>
      <c r="CA2" t="s">
        <v>18</v>
      </c>
      <c r="CB2" t="s">
        <v>18</v>
      </c>
      <c r="CC2" t="s">
        <v>18</v>
      </c>
      <c r="CD2" t="s">
        <v>18</v>
      </c>
      <c r="CE2" t="s">
        <v>18</v>
      </c>
      <c r="CF2" t="s">
        <v>18</v>
      </c>
      <c r="CG2" t="s">
        <v>18</v>
      </c>
      <c r="CH2" t="s">
        <v>18</v>
      </c>
      <c r="CI2" t="s">
        <v>18</v>
      </c>
      <c r="CJ2" t="s">
        <v>18</v>
      </c>
      <c r="CK2" t="s">
        <v>18</v>
      </c>
      <c r="CL2" t="s">
        <v>18</v>
      </c>
      <c r="CM2" t="s">
        <v>18</v>
      </c>
      <c r="CN2" t="s">
        <v>18</v>
      </c>
      <c r="CO2" t="s">
        <v>18</v>
      </c>
      <c r="CP2" t="s">
        <v>19</v>
      </c>
    </row>
    <row r="3" spans="1:94" x14ac:dyDescent="0.25"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2</v>
      </c>
      <c r="AH3">
        <v>2</v>
      </c>
      <c r="AI3">
        <v>2</v>
      </c>
      <c r="AJ3">
        <v>2</v>
      </c>
      <c r="AK3">
        <v>2</v>
      </c>
      <c r="AL3">
        <v>2</v>
      </c>
      <c r="AM3">
        <v>2</v>
      </c>
      <c r="AN3">
        <v>2</v>
      </c>
      <c r="AO3">
        <v>2</v>
      </c>
      <c r="AP3">
        <v>2</v>
      </c>
      <c r="AQ3">
        <v>2</v>
      </c>
      <c r="AR3">
        <v>2</v>
      </c>
      <c r="AS3">
        <v>2</v>
      </c>
      <c r="AT3">
        <v>2</v>
      </c>
      <c r="AU3">
        <v>2</v>
      </c>
      <c r="AV3">
        <v>2</v>
      </c>
      <c r="AW3">
        <v>2</v>
      </c>
      <c r="AX3">
        <v>2</v>
      </c>
      <c r="AY3">
        <v>2</v>
      </c>
      <c r="AZ3">
        <v>2</v>
      </c>
      <c r="BA3">
        <v>2</v>
      </c>
      <c r="BB3">
        <v>2</v>
      </c>
      <c r="BC3">
        <v>2</v>
      </c>
      <c r="BD3">
        <v>2</v>
      </c>
      <c r="BE3">
        <v>2</v>
      </c>
      <c r="BF3">
        <v>2</v>
      </c>
      <c r="BG3">
        <v>2</v>
      </c>
      <c r="BH3">
        <v>2</v>
      </c>
      <c r="BI3">
        <v>2</v>
      </c>
      <c r="BJ3">
        <v>2</v>
      </c>
      <c r="BK3">
        <v>2</v>
      </c>
      <c r="BL3">
        <v>3</v>
      </c>
      <c r="BM3">
        <v>3</v>
      </c>
      <c r="BN3">
        <v>3</v>
      </c>
      <c r="BO3">
        <v>3</v>
      </c>
      <c r="BP3">
        <v>3</v>
      </c>
      <c r="BQ3">
        <v>3</v>
      </c>
      <c r="BR3">
        <v>3</v>
      </c>
      <c r="BS3">
        <v>3</v>
      </c>
      <c r="BT3">
        <v>3</v>
      </c>
      <c r="BU3">
        <v>3</v>
      </c>
      <c r="BV3">
        <v>3</v>
      </c>
      <c r="BW3">
        <v>3</v>
      </c>
      <c r="BX3">
        <v>3</v>
      </c>
      <c r="BY3">
        <v>3</v>
      </c>
      <c r="BZ3">
        <v>3</v>
      </c>
      <c r="CA3">
        <v>3</v>
      </c>
      <c r="CB3">
        <v>3</v>
      </c>
      <c r="CC3">
        <v>3</v>
      </c>
      <c r="CD3">
        <v>3</v>
      </c>
      <c r="CE3">
        <v>3</v>
      </c>
      <c r="CF3">
        <v>3</v>
      </c>
      <c r="CG3">
        <v>3</v>
      </c>
      <c r="CH3">
        <v>3</v>
      </c>
      <c r="CI3">
        <v>3</v>
      </c>
      <c r="CJ3">
        <v>3</v>
      </c>
      <c r="CK3">
        <v>3</v>
      </c>
      <c r="CL3">
        <v>3</v>
      </c>
      <c r="CM3">
        <v>3</v>
      </c>
      <c r="CN3">
        <v>3</v>
      </c>
      <c r="CO3">
        <v>3</v>
      </c>
      <c r="CP3">
        <v>3</v>
      </c>
    </row>
    <row r="4" spans="1:94" x14ac:dyDescent="0.25">
      <c r="A4" t="s">
        <v>16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>
        <v>13</v>
      </c>
      <c r="O4">
        <v>14</v>
      </c>
      <c r="P4">
        <v>15</v>
      </c>
      <c r="Q4">
        <v>16</v>
      </c>
      <c r="R4">
        <v>17</v>
      </c>
      <c r="S4">
        <v>18</v>
      </c>
      <c r="T4">
        <v>19</v>
      </c>
      <c r="U4">
        <v>20</v>
      </c>
      <c r="V4">
        <v>21</v>
      </c>
      <c r="W4">
        <v>22</v>
      </c>
      <c r="X4">
        <v>23</v>
      </c>
      <c r="Y4">
        <v>24</v>
      </c>
      <c r="Z4">
        <v>25</v>
      </c>
      <c r="AA4">
        <v>26</v>
      </c>
      <c r="AB4">
        <v>27</v>
      </c>
      <c r="AC4">
        <v>28</v>
      </c>
      <c r="AD4">
        <v>29</v>
      </c>
      <c r="AE4">
        <v>30</v>
      </c>
      <c r="AF4">
        <v>31</v>
      </c>
      <c r="AG4">
        <v>1</v>
      </c>
      <c r="AH4">
        <v>2</v>
      </c>
      <c r="AI4">
        <v>3</v>
      </c>
      <c r="AJ4">
        <v>4</v>
      </c>
      <c r="AK4">
        <v>5</v>
      </c>
      <c r="AL4">
        <v>6</v>
      </c>
      <c r="AM4">
        <v>7</v>
      </c>
      <c r="AN4">
        <v>8</v>
      </c>
      <c r="AO4">
        <v>9</v>
      </c>
      <c r="AP4">
        <v>10</v>
      </c>
      <c r="AQ4">
        <v>11</v>
      </c>
      <c r="AR4">
        <v>12</v>
      </c>
      <c r="AS4">
        <v>13</v>
      </c>
      <c r="AT4">
        <v>14</v>
      </c>
      <c r="AU4">
        <v>15</v>
      </c>
      <c r="AV4">
        <v>16</v>
      </c>
      <c r="AW4">
        <v>17</v>
      </c>
      <c r="AX4">
        <v>18</v>
      </c>
      <c r="AY4">
        <v>19</v>
      </c>
      <c r="AZ4">
        <v>20</v>
      </c>
      <c r="BA4">
        <v>21</v>
      </c>
      <c r="BB4">
        <v>22</v>
      </c>
      <c r="BC4">
        <v>23</v>
      </c>
      <c r="BD4">
        <v>24</v>
      </c>
      <c r="BE4">
        <v>25</v>
      </c>
      <c r="BF4">
        <v>26</v>
      </c>
      <c r="BG4">
        <v>27</v>
      </c>
      <c r="BH4">
        <v>28</v>
      </c>
      <c r="BI4">
        <v>29</v>
      </c>
      <c r="BJ4">
        <v>30</v>
      </c>
      <c r="BK4">
        <v>31</v>
      </c>
      <c r="BL4">
        <v>1</v>
      </c>
      <c r="BM4">
        <v>2</v>
      </c>
      <c r="BN4">
        <v>3</v>
      </c>
      <c r="BO4">
        <v>4</v>
      </c>
      <c r="BP4">
        <v>5</v>
      </c>
      <c r="BQ4">
        <v>6</v>
      </c>
      <c r="BR4">
        <v>7</v>
      </c>
      <c r="BS4">
        <v>8</v>
      </c>
      <c r="BT4">
        <v>9</v>
      </c>
      <c r="BU4">
        <v>10</v>
      </c>
      <c r="BV4">
        <v>11</v>
      </c>
      <c r="BW4">
        <v>12</v>
      </c>
      <c r="BX4">
        <v>13</v>
      </c>
      <c r="BY4">
        <v>14</v>
      </c>
      <c r="BZ4">
        <v>15</v>
      </c>
      <c r="CA4">
        <v>16</v>
      </c>
      <c r="CB4">
        <v>17</v>
      </c>
      <c r="CC4">
        <v>18</v>
      </c>
      <c r="CD4">
        <v>19</v>
      </c>
      <c r="CE4">
        <v>20</v>
      </c>
      <c r="CF4">
        <v>21</v>
      </c>
      <c r="CG4">
        <v>22</v>
      </c>
      <c r="CH4">
        <v>23</v>
      </c>
      <c r="CI4">
        <v>24</v>
      </c>
      <c r="CJ4">
        <v>25</v>
      </c>
      <c r="CK4">
        <v>26</v>
      </c>
      <c r="CL4">
        <v>27</v>
      </c>
      <c r="CM4">
        <v>28</v>
      </c>
      <c r="CN4">
        <v>29</v>
      </c>
      <c r="CO4">
        <v>30</v>
      </c>
      <c r="CP4">
        <v>31</v>
      </c>
    </row>
    <row r="5" spans="1:94" x14ac:dyDescent="0.25">
      <c r="A5" t="s">
        <v>6</v>
      </c>
      <c r="B5">
        <v>164668.25806451609</v>
      </c>
      <c r="C5">
        <v>244221.61290322579</v>
      </c>
      <c r="D5">
        <v>268174.70967741928</v>
      </c>
      <c r="E5">
        <v>180642.6451612903</v>
      </c>
      <c r="F5">
        <v>321289.16129032261</v>
      </c>
      <c r="G5">
        <v>267340.16129032261</v>
      </c>
      <c r="H5">
        <v>235283.5161290323</v>
      </c>
      <c r="I5">
        <v>294649.87096774188</v>
      </c>
      <c r="J5">
        <v>199084.5806451613</v>
      </c>
      <c r="K5">
        <v>134553.67741935479</v>
      </c>
      <c r="L5">
        <v>216924.5806451613</v>
      </c>
      <c r="M5">
        <v>118837.25806451611</v>
      </c>
      <c r="N5">
        <v>352315.29032258072</v>
      </c>
      <c r="O5">
        <v>206048.54838709679</v>
      </c>
      <c r="P5">
        <v>156521.96774193551</v>
      </c>
      <c r="Q5">
        <v>109994.16129032261</v>
      </c>
      <c r="R5">
        <v>54713.354838709667</v>
      </c>
      <c r="S5">
        <v>75271.645161290318</v>
      </c>
      <c r="T5">
        <v>56508.870967741932</v>
      </c>
      <c r="U5">
        <v>82658.483870967742</v>
      </c>
      <c r="V5">
        <v>36504.354838709667</v>
      </c>
      <c r="W5">
        <v>72335.483870967742</v>
      </c>
      <c r="X5">
        <v>4314.8387096774204</v>
      </c>
      <c r="Y5">
        <v>58851</v>
      </c>
      <c r="Z5">
        <v>40455.548387096773</v>
      </c>
      <c r="AA5">
        <v>21147.29032258064</v>
      </c>
      <c r="AB5">
        <v>67412.870967741939</v>
      </c>
      <c r="AC5">
        <v>40023.290322580637</v>
      </c>
      <c r="AD5">
        <v>87093.06451612903</v>
      </c>
      <c r="AE5">
        <v>57475.129032258068</v>
      </c>
      <c r="AF5">
        <v>337183.67741935479</v>
      </c>
      <c r="AG5">
        <v>365800.58064516127</v>
      </c>
      <c r="AH5">
        <v>326092.29032258072</v>
      </c>
      <c r="AI5">
        <v>309778.38709677418</v>
      </c>
      <c r="AJ5">
        <v>318407.16129032261</v>
      </c>
      <c r="AK5">
        <v>309696.22580645158</v>
      </c>
      <c r="AL5">
        <v>262358.19354838709</v>
      </c>
      <c r="AM5">
        <v>362310.38709677418</v>
      </c>
      <c r="AN5">
        <v>231966.5161290323</v>
      </c>
      <c r="AO5">
        <v>315935.6451612903</v>
      </c>
      <c r="AP5">
        <v>387684.6451612903</v>
      </c>
      <c r="AQ5">
        <v>270414.6451612903</v>
      </c>
      <c r="AR5">
        <v>386587.51612903218</v>
      </c>
      <c r="AS5">
        <v>336850.48387096782</v>
      </c>
      <c r="AT5">
        <v>374787.19354838709</v>
      </c>
      <c r="AU5">
        <v>305150.51612903218</v>
      </c>
      <c r="AV5">
        <v>260109.5806451613</v>
      </c>
      <c r="AW5">
        <v>207390.29032258061</v>
      </c>
      <c r="AX5">
        <v>225809.90322580651</v>
      </c>
      <c r="AY5">
        <v>221620.80645161291</v>
      </c>
      <c r="AZ5">
        <v>135821.32258064521</v>
      </c>
      <c r="BA5">
        <v>266489.25806451612</v>
      </c>
      <c r="BB5">
        <v>202935.70967741939</v>
      </c>
      <c r="BC5">
        <v>140595.32258064521</v>
      </c>
      <c r="BD5">
        <v>147235.96774193551</v>
      </c>
      <c r="BE5">
        <v>282782.03225806449</v>
      </c>
      <c r="BF5">
        <v>191583.935483871</v>
      </c>
      <c r="BG5">
        <v>284809.51612903218</v>
      </c>
      <c r="BH5">
        <v>131829.5161290323</v>
      </c>
      <c r="BI5">
        <v>199870.67741935479</v>
      </c>
      <c r="BJ5">
        <v>109297.0322580645</v>
      </c>
      <c r="BK5">
        <v>753901.16129032255</v>
      </c>
      <c r="BL5">
        <v>393385.12903225812</v>
      </c>
      <c r="BM5">
        <v>462098.09677419357</v>
      </c>
      <c r="BN5">
        <v>445464.03225806449</v>
      </c>
      <c r="BO5">
        <v>371302.67741935479</v>
      </c>
      <c r="BP5">
        <v>441572</v>
      </c>
      <c r="BQ5">
        <v>469726.51612903218</v>
      </c>
      <c r="BR5">
        <v>520535.45161290321</v>
      </c>
      <c r="BS5">
        <v>412397.16129032261</v>
      </c>
      <c r="BT5">
        <v>417792.09677419357</v>
      </c>
      <c r="BU5">
        <v>417194.54838709679</v>
      </c>
      <c r="BV5">
        <v>418525.51612903218</v>
      </c>
      <c r="BW5">
        <v>367961.03225806449</v>
      </c>
      <c r="BX5">
        <v>469292.6451612903</v>
      </c>
      <c r="BY5">
        <v>386581.67741935479</v>
      </c>
      <c r="BZ5">
        <v>299412.12903225812</v>
      </c>
      <c r="CA5">
        <v>738127.83870967745</v>
      </c>
      <c r="CB5">
        <v>743762.51612903224</v>
      </c>
      <c r="CC5">
        <v>664299.22580645164</v>
      </c>
      <c r="CD5">
        <v>436239.67741935479</v>
      </c>
      <c r="CE5">
        <v>484769.74193548388</v>
      </c>
      <c r="CF5">
        <v>539949.58064516133</v>
      </c>
      <c r="CG5">
        <v>568856.16129032255</v>
      </c>
      <c r="CH5">
        <v>511386.22580645158</v>
      </c>
      <c r="CI5">
        <v>840497.6451612903</v>
      </c>
      <c r="CJ5">
        <v>684114.83870967745</v>
      </c>
      <c r="CK5">
        <v>667694.29032258061</v>
      </c>
      <c r="CL5">
        <v>422151.58064516127</v>
      </c>
      <c r="CM5">
        <v>779881.41935483867</v>
      </c>
      <c r="CN5">
        <v>689868.77419354836</v>
      </c>
      <c r="CO5">
        <v>633971.3548387097</v>
      </c>
      <c r="CP5">
        <v>820984.67741935479</v>
      </c>
    </row>
    <row r="6" spans="1:94" x14ac:dyDescent="0.25">
      <c r="A6" t="s">
        <v>7</v>
      </c>
      <c r="B6">
        <v>196026.29032258061</v>
      </c>
      <c r="C6">
        <v>130959.4838709677</v>
      </c>
      <c r="D6">
        <v>175270.67741935479</v>
      </c>
      <c r="E6">
        <v>194120.54838709679</v>
      </c>
      <c r="F6">
        <v>251001.935483871</v>
      </c>
      <c r="G6">
        <v>173480.3548387097</v>
      </c>
      <c r="H6">
        <v>172957.90322580651</v>
      </c>
      <c r="I6">
        <v>169569.935483871</v>
      </c>
      <c r="J6">
        <v>138994.6451612903</v>
      </c>
      <c r="K6">
        <v>123616.6774193548</v>
      </c>
      <c r="L6">
        <v>226689.03225806449</v>
      </c>
      <c r="M6">
        <v>208332.38709677421</v>
      </c>
      <c r="N6">
        <v>163338.67741935479</v>
      </c>
      <c r="O6">
        <v>262575.90322580643</v>
      </c>
      <c r="P6">
        <v>211657.61290322579</v>
      </c>
      <c r="Q6">
        <v>67970</v>
      </c>
      <c r="R6">
        <v>54759.677419354841</v>
      </c>
      <c r="S6">
        <v>13952.903225806451</v>
      </c>
      <c r="T6">
        <v>39515.161290322583</v>
      </c>
      <c r="U6">
        <v>13567.741935483869</v>
      </c>
      <c r="V6">
        <v>79669.677419354834</v>
      </c>
      <c r="W6">
        <v>33520</v>
      </c>
      <c r="X6">
        <v>43454.838709677417</v>
      </c>
      <c r="Y6">
        <v>100241.29032258069</v>
      </c>
      <c r="Z6">
        <v>19015.806451612902</v>
      </c>
      <c r="AA6">
        <v>51849.032258064522</v>
      </c>
      <c r="AB6">
        <v>14046.77419354839</v>
      </c>
      <c r="AC6">
        <v>54029.677419354841</v>
      </c>
      <c r="AD6">
        <v>47860.322580645159</v>
      </c>
      <c r="AE6">
        <v>39527.096774193553</v>
      </c>
      <c r="AF6">
        <v>198160.96774193551</v>
      </c>
      <c r="AG6">
        <v>361792.29032258072</v>
      </c>
      <c r="AH6">
        <v>258702.22580645161</v>
      </c>
      <c r="AI6">
        <v>255153.5161290323</v>
      </c>
      <c r="AJ6">
        <v>267884.67741935479</v>
      </c>
      <c r="AK6">
        <v>251599.03225806449</v>
      </c>
      <c r="AL6">
        <v>242999</v>
      </c>
      <c r="AM6">
        <v>262241.48387096782</v>
      </c>
      <c r="AN6">
        <v>221301.3548387097</v>
      </c>
      <c r="AO6">
        <v>228424.4838709677</v>
      </c>
      <c r="AP6">
        <v>236598.16129032261</v>
      </c>
      <c r="AQ6">
        <v>211390.3548387097</v>
      </c>
      <c r="AR6">
        <v>169760.70967741939</v>
      </c>
      <c r="AS6">
        <v>264729.03225806449</v>
      </c>
      <c r="AT6">
        <v>259752.19354838709</v>
      </c>
      <c r="AU6">
        <v>257623.25806451609</v>
      </c>
      <c r="AV6">
        <v>133133.22580645161</v>
      </c>
      <c r="AW6">
        <v>164543.22580645161</v>
      </c>
      <c r="AX6">
        <v>242813.22580645161</v>
      </c>
      <c r="AY6">
        <v>193828.064516129</v>
      </c>
      <c r="AZ6">
        <v>173070.96774193551</v>
      </c>
      <c r="BA6">
        <v>125010.3225806452</v>
      </c>
      <c r="BB6">
        <v>186403.54838709679</v>
      </c>
      <c r="BC6">
        <v>128526.77419354839</v>
      </c>
      <c r="BD6">
        <v>98956.129032258061</v>
      </c>
      <c r="BE6">
        <v>174090.96774193551</v>
      </c>
      <c r="BF6">
        <v>140630.96774193551</v>
      </c>
      <c r="BG6">
        <v>132159.3548387097</v>
      </c>
      <c r="BH6">
        <v>104776.77419354839</v>
      </c>
      <c r="BI6">
        <v>271712.25806451612</v>
      </c>
      <c r="BJ6">
        <v>188116.77419354839</v>
      </c>
      <c r="BK6">
        <v>525538.80645161285</v>
      </c>
      <c r="BL6">
        <v>199462.25806451609</v>
      </c>
      <c r="BM6">
        <v>275318.29032258072</v>
      </c>
      <c r="BN6">
        <v>237765.5806451613</v>
      </c>
      <c r="BO6">
        <v>291294.77419354842</v>
      </c>
      <c r="BP6">
        <v>306345.83870967739</v>
      </c>
      <c r="BQ6">
        <v>281324.77419354842</v>
      </c>
      <c r="BR6">
        <v>293796.93548387103</v>
      </c>
      <c r="BS6">
        <v>329089.70967741928</v>
      </c>
      <c r="BT6">
        <v>261124.25806451609</v>
      </c>
      <c r="BU6">
        <v>324312.54838709679</v>
      </c>
      <c r="BV6">
        <v>340145.61290322582</v>
      </c>
      <c r="BW6">
        <v>210896.77419354839</v>
      </c>
      <c r="BX6">
        <v>320994.09677419357</v>
      </c>
      <c r="BY6">
        <v>379658.38709677418</v>
      </c>
      <c r="BZ6">
        <v>270560.41935483873</v>
      </c>
      <c r="CA6">
        <v>367005.16129032261</v>
      </c>
      <c r="CB6">
        <v>415084.83870967739</v>
      </c>
      <c r="CC6">
        <v>476880.96774193551</v>
      </c>
      <c r="CD6">
        <v>466575.16129032261</v>
      </c>
      <c r="CE6">
        <v>464079.3548387097</v>
      </c>
      <c r="CF6">
        <v>604806.45161290327</v>
      </c>
      <c r="CG6">
        <v>526293.87096774194</v>
      </c>
      <c r="CH6">
        <v>562690</v>
      </c>
      <c r="CI6">
        <v>601173.87096774194</v>
      </c>
      <c r="CJ6">
        <v>513128.06451612897</v>
      </c>
      <c r="CK6">
        <v>491725.48387096782</v>
      </c>
      <c r="CL6">
        <v>530684.51612903224</v>
      </c>
      <c r="CM6">
        <v>418552.90322580643</v>
      </c>
      <c r="CN6">
        <v>512762.90322580643</v>
      </c>
      <c r="CO6">
        <v>584602.90322580643</v>
      </c>
      <c r="CP6">
        <v>701084.83870967745</v>
      </c>
    </row>
    <row r="7" spans="1:94" x14ac:dyDescent="0.25">
      <c r="A7" t="s">
        <v>8</v>
      </c>
      <c r="B7">
        <v>362763.87096774188</v>
      </c>
      <c r="C7">
        <v>336763.87096774188</v>
      </c>
      <c r="D7">
        <v>329451.61290322582</v>
      </c>
      <c r="E7">
        <v>319693.54838709679</v>
      </c>
      <c r="F7">
        <v>287747.74193548388</v>
      </c>
      <c r="G7">
        <v>279134.83870967739</v>
      </c>
      <c r="H7">
        <v>274392.90322580643</v>
      </c>
      <c r="I7">
        <v>224941.29032258061</v>
      </c>
      <c r="J7">
        <v>196322.5806451613</v>
      </c>
      <c r="K7">
        <v>188306.45161290321</v>
      </c>
      <c r="L7">
        <v>185005.80645161291</v>
      </c>
      <c r="M7">
        <v>178543.22580645161</v>
      </c>
      <c r="N7">
        <v>164354.83870967739</v>
      </c>
      <c r="O7">
        <v>137425.16129032261</v>
      </c>
      <c r="P7">
        <v>9801.2903225806458</v>
      </c>
      <c r="Q7">
        <v>11645.16129032258</v>
      </c>
      <c r="R7">
        <v>11593.548387096769</v>
      </c>
      <c r="S7">
        <v>11503.22580645161</v>
      </c>
      <c r="T7">
        <v>11451.61290322581</v>
      </c>
      <c r="U7">
        <v>11367.741935483869</v>
      </c>
      <c r="V7">
        <v>11335.483870967741</v>
      </c>
      <c r="W7">
        <v>3722.5806451612898</v>
      </c>
      <c r="X7">
        <v>3619.354838709678</v>
      </c>
      <c r="Y7">
        <v>3503.2258064516132</v>
      </c>
      <c r="Z7">
        <v>3451.6129032258059</v>
      </c>
      <c r="AA7">
        <v>3393.5483870967741</v>
      </c>
      <c r="AB7">
        <v>3393.5483870967741</v>
      </c>
      <c r="AC7">
        <v>3212.9032258064522</v>
      </c>
      <c r="AD7">
        <v>3180.645161290322</v>
      </c>
      <c r="AE7">
        <v>3129.0322580645161</v>
      </c>
      <c r="AF7">
        <v>0</v>
      </c>
      <c r="AG7">
        <v>380318.06451612897</v>
      </c>
      <c r="AH7">
        <v>379473.54838709679</v>
      </c>
      <c r="AI7">
        <v>365968.38709677418</v>
      </c>
      <c r="AJ7">
        <v>354769.67741935479</v>
      </c>
      <c r="AK7">
        <v>351758.06451612897</v>
      </c>
      <c r="AL7">
        <v>334420</v>
      </c>
      <c r="AM7">
        <v>304123.87096774188</v>
      </c>
      <c r="AN7">
        <v>294672.90322580643</v>
      </c>
      <c r="AO7">
        <v>269021.93548387103</v>
      </c>
      <c r="AP7">
        <v>268467.74193548388</v>
      </c>
      <c r="AQ7">
        <v>262678.06451612897</v>
      </c>
      <c r="AR7">
        <v>259489.67741935479</v>
      </c>
      <c r="AS7">
        <v>258403.22580645161</v>
      </c>
      <c r="AT7">
        <v>256704.5161290323</v>
      </c>
      <c r="AU7">
        <v>255425.16129032261</v>
      </c>
      <c r="AV7">
        <v>280761.29032258072</v>
      </c>
      <c r="AW7">
        <v>257025.80645161291</v>
      </c>
      <c r="AX7">
        <v>249380.6451612903</v>
      </c>
      <c r="AY7">
        <v>249096.77419354839</v>
      </c>
      <c r="AZ7">
        <v>243870.96774193551</v>
      </c>
      <c r="BA7">
        <v>193670.96774193551</v>
      </c>
      <c r="BB7">
        <v>183890.32258064521</v>
      </c>
      <c r="BC7">
        <v>175038.70967741939</v>
      </c>
      <c r="BD7">
        <v>157722.5806451613</v>
      </c>
      <c r="BE7">
        <v>12135.483870967741</v>
      </c>
      <c r="BF7">
        <v>12019.35483870968</v>
      </c>
      <c r="BG7">
        <v>11870.967741935479</v>
      </c>
      <c r="BH7">
        <v>11800</v>
      </c>
      <c r="BI7">
        <v>11787.096774193549</v>
      </c>
      <c r="BJ7">
        <v>11735.483870967741</v>
      </c>
      <c r="BK7">
        <v>9769.032258064517</v>
      </c>
      <c r="BL7">
        <v>564436.77419354836</v>
      </c>
      <c r="BM7">
        <v>535005.80645161285</v>
      </c>
      <c r="BN7">
        <v>528479.3548387097</v>
      </c>
      <c r="BO7">
        <v>526441.29032258061</v>
      </c>
      <c r="BP7">
        <v>511565.16129032261</v>
      </c>
      <c r="BQ7">
        <v>496941.93548387103</v>
      </c>
      <c r="BR7">
        <v>483683.22580645158</v>
      </c>
      <c r="BS7">
        <v>476602.58064516127</v>
      </c>
      <c r="BT7">
        <v>461565.16129032261</v>
      </c>
      <c r="BU7">
        <v>448866.45161290321</v>
      </c>
      <c r="BV7">
        <v>445549.67741935479</v>
      </c>
      <c r="BW7">
        <v>431602.58064516127</v>
      </c>
      <c r="BX7">
        <v>414736.77419354842</v>
      </c>
      <c r="BY7">
        <v>405645.80645161291</v>
      </c>
      <c r="BZ7">
        <v>400119.3548387097</v>
      </c>
      <c r="CA7">
        <v>477832.25806451612</v>
      </c>
      <c r="CB7">
        <v>337703.22580645158</v>
      </c>
      <c r="CC7">
        <v>327200</v>
      </c>
      <c r="CD7">
        <v>323212.90322580643</v>
      </c>
      <c r="CE7">
        <v>320103.22580645158</v>
      </c>
      <c r="CF7">
        <v>306709.67741935479</v>
      </c>
      <c r="CG7">
        <v>306464.51612903218</v>
      </c>
      <c r="CH7">
        <v>305864.51612903218</v>
      </c>
      <c r="CI7">
        <v>301658.06451612897</v>
      </c>
      <c r="CJ7">
        <v>299941.93548387103</v>
      </c>
      <c r="CK7">
        <v>296683.87096774188</v>
      </c>
      <c r="CL7">
        <v>289303.22580645158</v>
      </c>
      <c r="CM7">
        <v>288954.83870967739</v>
      </c>
      <c r="CN7">
        <v>286954.83870967739</v>
      </c>
      <c r="CO7">
        <v>284670.96774193551</v>
      </c>
      <c r="CP7">
        <v>210925.16129032261</v>
      </c>
    </row>
    <row r="8" spans="1:94" x14ac:dyDescent="0.25">
      <c r="A8" t="s">
        <v>9</v>
      </c>
      <c r="B8">
        <v>144947.54838709679</v>
      </c>
      <c r="C8">
        <v>106291.6774193548</v>
      </c>
      <c r="D8">
        <v>101808.5806451613</v>
      </c>
      <c r="E8">
        <v>115189.22580645161</v>
      </c>
      <c r="F8">
        <v>189872.25806451609</v>
      </c>
      <c r="G8">
        <v>136456.54838709679</v>
      </c>
      <c r="H8">
        <v>156729.5806451613</v>
      </c>
      <c r="I8">
        <v>101305.5483870968</v>
      </c>
      <c r="J8">
        <v>119765.0322580645</v>
      </c>
      <c r="K8">
        <v>150091.96774193551</v>
      </c>
      <c r="L8">
        <v>145168.54838709679</v>
      </c>
      <c r="M8">
        <v>74413.096774193546</v>
      </c>
      <c r="N8">
        <v>105280.935483871</v>
      </c>
      <c r="O8">
        <v>144719.83870967739</v>
      </c>
      <c r="P8">
        <v>74530.129032258061</v>
      </c>
      <c r="Q8">
        <v>73763.225806451606</v>
      </c>
      <c r="R8">
        <v>192305.4838709677</v>
      </c>
      <c r="S8">
        <v>105485.16129032261</v>
      </c>
      <c r="T8">
        <v>186231.29032258061</v>
      </c>
      <c r="U8">
        <v>143488.70967741939</v>
      </c>
      <c r="V8">
        <v>129619.0322580645</v>
      </c>
      <c r="W8">
        <v>123731.935483871</v>
      </c>
      <c r="X8">
        <v>170008.064516129</v>
      </c>
      <c r="Y8">
        <v>112084.19354838711</v>
      </c>
      <c r="Z8">
        <v>106770.3225806452</v>
      </c>
      <c r="AA8">
        <v>107815.80645161289</v>
      </c>
      <c r="AB8">
        <v>85758.709677419349</v>
      </c>
      <c r="AC8">
        <v>82768.06451612903</v>
      </c>
      <c r="AD8">
        <v>75504.516129032258</v>
      </c>
      <c r="AE8">
        <v>178446.77419354839</v>
      </c>
      <c r="AF8">
        <v>129513.9677419355</v>
      </c>
      <c r="AG8">
        <v>197102.70967741939</v>
      </c>
      <c r="AH8">
        <v>104344.5161290323</v>
      </c>
      <c r="AI8">
        <v>324757.77419354842</v>
      </c>
      <c r="AJ8">
        <v>180804.29032258061</v>
      </c>
      <c r="AK8">
        <v>156609.45161290321</v>
      </c>
      <c r="AL8">
        <v>181707.16129032261</v>
      </c>
      <c r="AM8">
        <v>222082.38709677421</v>
      </c>
      <c r="AN8">
        <v>211397.935483871</v>
      </c>
      <c r="AO8">
        <v>197721.77419354839</v>
      </c>
      <c r="AP8">
        <v>246178.22580645161</v>
      </c>
      <c r="AQ8">
        <v>155652.935483871</v>
      </c>
      <c r="AR8">
        <v>181426.5806451613</v>
      </c>
      <c r="AS8">
        <v>240217.80645161291</v>
      </c>
      <c r="AT8">
        <v>182623.74193548391</v>
      </c>
      <c r="AU8">
        <v>192037.3548387097</v>
      </c>
      <c r="AV8">
        <v>252151.61290322579</v>
      </c>
      <c r="AW8">
        <v>204336.12903225809</v>
      </c>
      <c r="AX8">
        <v>376936.12903225812</v>
      </c>
      <c r="AY8">
        <v>150494.5161290323</v>
      </c>
      <c r="AZ8">
        <v>235190.32258064521</v>
      </c>
      <c r="BA8">
        <v>275716.45161290321</v>
      </c>
      <c r="BB8">
        <v>320546.45161290321</v>
      </c>
      <c r="BC8">
        <v>214995.80645161291</v>
      </c>
      <c r="BD8">
        <v>342917.09677419357</v>
      </c>
      <c r="BE8">
        <v>310366.12903225812</v>
      </c>
      <c r="BF8">
        <v>182183.87096774191</v>
      </c>
      <c r="BG8">
        <v>203052.90322580651</v>
      </c>
      <c r="BH8">
        <v>257310</v>
      </c>
      <c r="BI8">
        <v>237230.32258064521</v>
      </c>
      <c r="BJ8">
        <v>255279.67741935479</v>
      </c>
      <c r="BK8">
        <v>166712.935483871</v>
      </c>
      <c r="BL8">
        <v>351578.03225806449</v>
      </c>
      <c r="BM8">
        <v>286559.61290322582</v>
      </c>
      <c r="BN8">
        <v>408240.93548387103</v>
      </c>
      <c r="BO8">
        <v>301117.61290322582</v>
      </c>
      <c r="BP8">
        <v>356040.51612903218</v>
      </c>
      <c r="BQ8">
        <v>414841.90322580643</v>
      </c>
      <c r="BR8">
        <v>385532.61290322582</v>
      </c>
      <c r="BS8">
        <v>425890.25806451612</v>
      </c>
      <c r="BT8">
        <v>386010.80645161291</v>
      </c>
      <c r="BU8">
        <v>305802.41935483873</v>
      </c>
      <c r="BV8">
        <v>298610.19354838709</v>
      </c>
      <c r="BW8">
        <v>338526.96774193551</v>
      </c>
      <c r="BX8">
        <v>301479.32258064521</v>
      </c>
      <c r="BY8">
        <v>298706.32258064521</v>
      </c>
      <c r="BZ8">
        <v>429054.12903225812</v>
      </c>
      <c r="CA8">
        <v>509384.51612903218</v>
      </c>
      <c r="CB8">
        <v>374105.80645161291</v>
      </c>
      <c r="CC8">
        <v>399649.03225806449</v>
      </c>
      <c r="CD8">
        <v>519597.74193548388</v>
      </c>
      <c r="CE8">
        <v>343466.77419354842</v>
      </c>
      <c r="CF8">
        <v>549481.93548387091</v>
      </c>
      <c r="CG8">
        <v>457454.51612903218</v>
      </c>
      <c r="CH8">
        <v>531550.6451612903</v>
      </c>
      <c r="CI8">
        <v>489331.93548387103</v>
      </c>
      <c r="CJ8">
        <v>530092.25806451612</v>
      </c>
      <c r="CK8">
        <v>480417.74193548388</v>
      </c>
      <c r="CL8">
        <v>388734.83870967739</v>
      </c>
      <c r="CM8">
        <v>425134.83870967739</v>
      </c>
      <c r="CN8">
        <v>399865.16129032261</v>
      </c>
      <c r="CO8">
        <v>432858.38709677418</v>
      </c>
      <c r="CP8">
        <v>322617.32258064521</v>
      </c>
    </row>
    <row r="9" spans="1:94" x14ac:dyDescent="0.25">
      <c r="A9" t="s">
        <v>10</v>
      </c>
      <c r="B9">
        <v>162280.45161290321</v>
      </c>
      <c r="C9">
        <v>203389.12903225809</v>
      </c>
      <c r="D9">
        <v>171208.90322580651</v>
      </c>
      <c r="E9">
        <v>195415.32258064521</v>
      </c>
      <c r="F9">
        <v>221196.80645161291</v>
      </c>
      <c r="G9">
        <v>204197.16129032261</v>
      </c>
      <c r="H9">
        <v>170080.4193548387</v>
      </c>
      <c r="I9">
        <v>103040.22580645161</v>
      </c>
      <c r="J9">
        <v>175903.064516129</v>
      </c>
      <c r="K9">
        <v>131409.38709677421</v>
      </c>
      <c r="L9">
        <v>121247.80645161289</v>
      </c>
      <c r="M9">
        <v>165064.5806451613</v>
      </c>
      <c r="N9">
        <v>188585.09677419349</v>
      </c>
      <c r="O9">
        <v>180441.61290322579</v>
      </c>
      <c r="P9">
        <v>154984.45161290321</v>
      </c>
      <c r="Q9">
        <v>105935.16129032261</v>
      </c>
      <c r="R9">
        <v>74551.612903225803</v>
      </c>
      <c r="S9">
        <v>55196.774193548386</v>
      </c>
      <c r="T9">
        <v>129962.25806451611</v>
      </c>
      <c r="U9">
        <v>22383.22580645161</v>
      </c>
      <c r="V9">
        <v>167226.45161290321</v>
      </c>
      <c r="W9">
        <v>77844.838709677424</v>
      </c>
      <c r="X9">
        <v>25250.645161290318</v>
      </c>
      <c r="Y9">
        <v>67397.419354838712</v>
      </c>
      <c r="Z9">
        <v>87710</v>
      </c>
      <c r="AA9">
        <v>122680.6451612903</v>
      </c>
      <c r="AB9">
        <v>25718.06451612903</v>
      </c>
      <c r="AC9">
        <v>62885.483870967742</v>
      </c>
      <c r="AD9">
        <v>101046.1290322581</v>
      </c>
      <c r="AE9">
        <v>73382.580645161288</v>
      </c>
      <c r="AF9">
        <v>9815.4516129032254</v>
      </c>
      <c r="AG9">
        <v>181092.16129032261</v>
      </c>
      <c r="AH9">
        <v>204491.70967741939</v>
      </c>
      <c r="AI9">
        <v>205739.83870967739</v>
      </c>
      <c r="AJ9">
        <v>188527.12903225809</v>
      </c>
      <c r="AK9">
        <v>158465.38709677421</v>
      </c>
      <c r="AL9">
        <v>311698.51612903218</v>
      </c>
      <c r="AM9">
        <v>303202.48387096782</v>
      </c>
      <c r="AN9">
        <v>159510.16129032261</v>
      </c>
      <c r="AO9">
        <v>124153.0322580645</v>
      </c>
      <c r="AP9">
        <v>337742.25806451612</v>
      </c>
      <c r="AQ9">
        <v>242351.45161290321</v>
      </c>
      <c r="AR9">
        <v>238506.67741935479</v>
      </c>
      <c r="AS9">
        <v>283037.41935483873</v>
      </c>
      <c r="AT9">
        <v>254676.70967741939</v>
      </c>
      <c r="AU9">
        <v>286816.80645161291</v>
      </c>
      <c r="AV9">
        <v>198484.5161290323</v>
      </c>
      <c r="AW9">
        <v>149258.38709677421</v>
      </c>
      <c r="AX9">
        <v>205894.83870967739</v>
      </c>
      <c r="AY9">
        <v>156336.12903225809</v>
      </c>
      <c r="AZ9">
        <v>225387.74193548391</v>
      </c>
      <c r="BA9">
        <v>188732.5806451613</v>
      </c>
      <c r="BB9">
        <v>258723.87096774191</v>
      </c>
      <c r="BC9">
        <v>219139.3548387097</v>
      </c>
      <c r="BD9">
        <v>237806.77419354839</v>
      </c>
      <c r="BE9">
        <v>151120.96774193551</v>
      </c>
      <c r="BF9">
        <v>269345.48387096782</v>
      </c>
      <c r="BG9">
        <v>236208.064516129</v>
      </c>
      <c r="BH9">
        <v>117755.16129032261</v>
      </c>
      <c r="BI9">
        <v>333647.74193548388</v>
      </c>
      <c r="BJ9">
        <v>323097.74193548388</v>
      </c>
      <c r="BK9">
        <v>117839.4516129032</v>
      </c>
      <c r="BL9">
        <v>375800.12903225812</v>
      </c>
      <c r="BM9">
        <v>349774.61290322582</v>
      </c>
      <c r="BN9">
        <v>365587.03225806449</v>
      </c>
      <c r="BO9">
        <v>415021.06451612897</v>
      </c>
      <c r="BP9">
        <v>387650.09677419357</v>
      </c>
      <c r="BQ9">
        <v>453257.61290322582</v>
      </c>
      <c r="BR9">
        <v>390845.03225806449</v>
      </c>
      <c r="BS9">
        <v>404519.67741935479</v>
      </c>
      <c r="BT9">
        <v>392419.29032258072</v>
      </c>
      <c r="BU9">
        <v>418242.32258064521</v>
      </c>
      <c r="BV9">
        <v>385593.16129032261</v>
      </c>
      <c r="BW9">
        <v>364885.83870967739</v>
      </c>
      <c r="BX9">
        <v>407736.06451612897</v>
      </c>
      <c r="BY9">
        <v>250346.19354838709</v>
      </c>
      <c r="BZ9">
        <v>371249.3548387097</v>
      </c>
      <c r="CA9">
        <v>293013.87096774188</v>
      </c>
      <c r="CB9">
        <v>294650.32258064521</v>
      </c>
      <c r="CC9">
        <v>348596.45161290321</v>
      </c>
      <c r="CD9">
        <v>426796.77419354842</v>
      </c>
      <c r="CE9">
        <v>568751.93548387091</v>
      </c>
      <c r="CF9">
        <v>521372.90322580643</v>
      </c>
      <c r="CG9">
        <v>292446.12903225812</v>
      </c>
      <c r="CH9">
        <v>391181.29032258072</v>
      </c>
      <c r="CI9">
        <v>450480.6451612903</v>
      </c>
      <c r="CJ9">
        <v>374474.19354838709</v>
      </c>
      <c r="CK9">
        <v>446812.90322580643</v>
      </c>
      <c r="CL9">
        <v>423944.51612903218</v>
      </c>
      <c r="CM9">
        <v>424671.93548387103</v>
      </c>
      <c r="CN9">
        <v>515238.06451612897</v>
      </c>
      <c r="CO9">
        <v>448426.12903225812</v>
      </c>
      <c r="CP9">
        <v>386238.3548387097</v>
      </c>
    </row>
    <row r="10" spans="1:94" x14ac:dyDescent="0.25">
      <c r="A10" t="s">
        <v>11</v>
      </c>
      <c r="B10">
        <v>202376.67741935479</v>
      </c>
      <c r="C10">
        <v>171978</v>
      </c>
      <c r="D10">
        <v>146653.77419354839</v>
      </c>
      <c r="E10">
        <v>60162.096774193553</v>
      </c>
      <c r="F10">
        <v>88286.032258064515</v>
      </c>
      <c r="G10">
        <v>173911.4838709677</v>
      </c>
      <c r="H10">
        <v>158759.12903225809</v>
      </c>
      <c r="I10">
        <v>120449.3870967742</v>
      </c>
      <c r="J10">
        <v>90207.774193548394</v>
      </c>
      <c r="K10">
        <v>92786.06451612903</v>
      </c>
      <c r="L10">
        <v>65007.193548387098</v>
      </c>
      <c r="M10">
        <v>100232.19354838711</v>
      </c>
      <c r="N10">
        <v>65431.709677419363</v>
      </c>
      <c r="O10">
        <v>58971.290322580637</v>
      </c>
      <c r="P10">
        <v>168712.935483871</v>
      </c>
      <c r="Q10">
        <v>106963.8709677419</v>
      </c>
      <c r="R10">
        <v>215421.61290322579</v>
      </c>
      <c r="S10">
        <v>116262.9032258065</v>
      </c>
      <c r="T10">
        <v>95718.06451612903</v>
      </c>
      <c r="U10">
        <v>74491.93548387097</v>
      </c>
      <c r="V10">
        <v>145967.09677419349</v>
      </c>
      <c r="W10">
        <v>207112.5806451613</v>
      </c>
      <c r="X10">
        <v>151081.61290322579</v>
      </c>
      <c r="Y10">
        <v>201116.45161290321</v>
      </c>
      <c r="Z10">
        <v>128896.77419354839</v>
      </c>
      <c r="AA10">
        <v>124599.6774193548</v>
      </c>
      <c r="AB10">
        <v>137952.25806451609</v>
      </c>
      <c r="AC10">
        <v>96306.451612903227</v>
      </c>
      <c r="AD10">
        <v>121641.935483871</v>
      </c>
      <c r="AE10">
        <v>66143.548387096773</v>
      </c>
      <c r="AF10">
        <v>135578.67741935479</v>
      </c>
      <c r="AG10">
        <v>213517.22580645161</v>
      </c>
      <c r="AH10">
        <v>156098.935483871</v>
      </c>
      <c r="AI10">
        <v>174198.4193548387</v>
      </c>
      <c r="AJ10">
        <v>162883.6451612903</v>
      </c>
      <c r="AK10">
        <v>272022</v>
      </c>
      <c r="AL10">
        <v>156958.5161290323</v>
      </c>
      <c r="AM10">
        <v>182144.03225806449</v>
      </c>
      <c r="AN10">
        <v>215236</v>
      </c>
      <c r="AO10">
        <v>245505.22580645161</v>
      </c>
      <c r="AP10">
        <v>172747.064516129</v>
      </c>
      <c r="AQ10">
        <v>279388.83870967739</v>
      </c>
      <c r="AR10">
        <v>212392.77419354839</v>
      </c>
      <c r="AS10">
        <v>113910.70967741931</v>
      </c>
      <c r="AT10">
        <v>166474.25806451609</v>
      </c>
      <c r="AU10">
        <v>210290.54838709679</v>
      </c>
      <c r="AV10">
        <v>200888.70967741939</v>
      </c>
      <c r="AW10">
        <v>252552.25806451609</v>
      </c>
      <c r="AX10">
        <v>269050</v>
      </c>
      <c r="AY10">
        <v>234699.3548387097</v>
      </c>
      <c r="AZ10">
        <v>254376.45161290321</v>
      </c>
      <c r="BA10">
        <v>300993.87096774188</v>
      </c>
      <c r="BB10">
        <v>266020.32258064521</v>
      </c>
      <c r="BC10">
        <v>281841.61290322582</v>
      </c>
      <c r="BD10">
        <v>300663.87096774188</v>
      </c>
      <c r="BE10">
        <v>159288.70967741939</v>
      </c>
      <c r="BF10">
        <v>166306.12903225809</v>
      </c>
      <c r="BG10">
        <v>263145.80645161291</v>
      </c>
      <c r="BH10">
        <v>249453.87096774191</v>
      </c>
      <c r="BI10">
        <v>301268.70967741928</v>
      </c>
      <c r="BJ10">
        <v>253751.61290322579</v>
      </c>
      <c r="BK10">
        <v>261280.935483871</v>
      </c>
      <c r="BL10">
        <v>290816.09677419357</v>
      </c>
      <c r="BM10">
        <v>420990.54838709679</v>
      </c>
      <c r="BN10">
        <v>417560.83870967739</v>
      </c>
      <c r="BO10">
        <v>493365.74193548388</v>
      </c>
      <c r="BP10">
        <v>370355.38709677418</v>
      </c>
      <c r="BQ10">
        <v>423530.70967741928</v>
      </c>
      <c r="BR10">
        <v>357726.25806451612</v>
      </c>
      <c r="BS10">
        <v>393497.3548387097</v>
      </c>
      <c r="BT10">
        <v>297284.70967741928</v>
      </c>
      <c r="BU10">
        <v>346941.54838709679</v>
      </c>
      <c r="BV10">
        <v>290294.16129032261</v>
      </c>
      <c r="BW10">
        <v>436463.77419354842</v>
      </c>
      <c r="BX10">
        <v>367897.87096774188</v>
      </c>
      <c r="BY10">
        <v>435928.70967741928</v>
      </c>
      <c r="BZ10">
        <v>349755.96774193551</v>
      </c>
      <c r="CA10">
        <v>373122.58064516127</v>
      </c>
      <c r="CB10">
        <v>285115.48387096782</v>
      </c>
      <c r="CC10">
        <v>523787.09677419357</v>
      </c>
      <c r="CD10">
        <v>394856.12903225812</v>
      </c>
      <c r="CE10">
        <v>362229.67741935479</v>
      </c>
      <c r="CF10">
        <v>472618.06451612897</v>
      </c>
      <c r="CG10">
        <v>472267.41935483873</v>
      </c>
      <c r="CH10">
        <v>475059.03225806449</v>
      </c>
      <c r="CI10">
        <v>417530.96774193551</v>
      </c>
      <c r="CJ10">
        <v>580268.06451612909</v>
      </c>
      <c r="CK10">
        <v>376660.6451612903</v>
      </c>
      <c r="CL10">
        <v>401974.51612903218</v>
      </c>
      <c r="CM10">
        <v>393659.67741935479</v>
      </c>
      <c r="CN10">
        <v>402979.03225806449</v>
      </c>
      <c r="CO10">
        <v>382438.06451612897</v>
      </c>
      <c r="CP10">
        <v>348665.87096774188</v>
      </c>
    </row>
    <row r="11" spans="1:94" x14ac:dyDescent="0.25">
      <c r="A11" t="s">
        <v>12</v>
      </c>
      <c r="B11">
        <v>108135.19354838711</v>
      </c>
      <c r="C11">
        <v>171276.29032258061</v>
      </c>
      <c r="D11">
        <v>168569.064516129</v>
      </c>
      <c r="E11">
        <v>131340.03225806449</v>
      </c>
      <c r="F11">
        <v>140081.38709677421</v>
      </c>
      <c r="G11">
        <v>82591.06451612903</v>
      </c>
      <c r="H11">
        <v>138988.45161290321</v>
      </c>
      <c r="I11">
        <v>131163.67741935479</v>
      </c>
      <c r="J11">
        <v>42527.645161290333</v>
      </c>
      <c r="K11">
        <v>155441.25806451609</v>
      </c>
      <c r="L11">
        <v>132686</v>
      </c>
      <c r="M11">
        <v>143783.29032258061</v>
      </c>
      <c r="N11">
        <v>129306.6774193548</v>
      </c>
      <c r="O11">
        <v>102894.8709677419</v>
      </c>
      <c r="P11">
        <v>108926.3870967742</v>
      </c>
      <c r="Q11">
        <v>134156.45161290321</v>
      </c>
      <c r="R11">
        <v>80988.06451612903</v>
      </c>
      <c r="S11">
        <v>148249.3548387097</v>
      </c>
      <c r="T11">
        <v>97058.387096774197</v>
      </c>
      <c r="U11">
        <v>46306.774193548386</v>
      </c>
      <c r="V11">
        <v>120462.9032258065</v>
      </c>
      <c r="W11">
        <v>145838.70967741939</v>
      </c>
      <c r="X11">
        <v>135227.4193548387</v>
      </c>
      <c r="Y11">
        <v>145921.61290322579</v>
      </c>
      <c r="Z11">
        <v>166393.54838709679</v>
      </c>
      <c r="AA11">
        <v>109900.3225806452</v>
      </c>
      <c r="AB11">
        <v>130778.064516129</v>
      </c>
      <c r="AC11">
        <v>106378.70967741931</v>
      </c>
      <c r="AD11">
        <v>114560</v>
      </c>
      <c r="AE11">
        <v>162289.67741935479</v>
      </c>
      <c r="AF11">
        <v>132765.5806451613</v>
      </c>
      <c r="AG11">
        <v>194326.5806451613</v>
      </c>
      <c r="AH11">
        <v>262361.29032258072</v>
      </c>
      <c r="AI11">
        <v>226427.19354838709</v>
      </c>
      <c r="AJ11">
        <v>215276.4193548387</v>
      </c>
      <c r="AK11">
        <v>134378.80645161291</v>
      </c>
      <c r="AL11">
        <v>306974.29032258072</v>
      </c>
      <c r="AM11">
        <v>147705.61290322579</v>
      </c>
      <c r="AN11">
        <v>142929.77419354839</v>
      </c>
      <c r="AO11">
        <v>227712.16129032261</v>
      </c>
      <c r="AP11">
        <v>249786.09677419349</v>
      </c>
      <c r="AQ11">
        <v>146021.5806451613</v>
      </c>
      <c r="AR11">
        <v>222248.3548387097</v>
      </c>
      <c r="AS11">
        <v>303063</v>
      </c>
      <c r="AT11">
        <v>242965.45161290321</v>
      </c>
      <c r="AU11">
        <v>275754.87096774188</v>
      </c>
      <c r="AV11">
        <v>199301.935483871</v>
      </c>
      <c r="AW11">
        <v>210411.29032258061</v>
      </c>
      <c r="AX11">
        <v>150268.70967741939</v>
      </c>
      <c r="AY11">
        <v>294237.74193548388</v>
      </c>
      <c r="AZ11">
        <v>174348.064516129</v>
      </c>
      <c r="BA11">
        <v>317441.61290322582</v>
      </c>
      <c r="BB11">
        <v>106375.16129032261</v>
      </c>
      <c r="BC11">
        <v>281940.32258064521</v>
      </c>
      <c r="BD11">
        <v>214410.32258064521</v>
      </c>
      <c r="BE11">
        <v>176903.87096774191</v>
      </c>
      <c r="BF11">
        <v>243923.54838709679</v>
      </c>
      <c r="BG11">
        <v>337820.32258064521</v>
      </c>
      <c r="BH11">
        <v>302471.29032258072</v>
      </c>
      <c r="BI11">
        <v>167269.3548387097</v>
      </c>
      <c r="BJ11">
        <v>235099.3548387097</v>
      </c>
      <c r="BK11">
        <v>182183.32258064521</v>
      </c>
      <c r="BL11">
        <v>310686.45161290321</v>
      </c>
      <c r="BM11">
        <v>393204.6451612903</v>
      </c>
      <c r="BN11">
        <v>451604.06451612897</v>
      </c>
      <c r="BO11">
        <v>264574.32258064521</v>
      </c>
      <c r="BP11">
        <v>441549.6451612903</v>
      </c>
      <c r="BQ11">
        <v>294318.87096774188</v>
      </c>
      <c r="BR11">
        <v>401607.58064516127</v>
      </c>
      <c r="BS11">
        <v>341490.54838709679</v>
      </c>
      <c r="BT11">
        <v>367114.54838709679</v>
      </c>
      <c r="BU11">
        <v>445287.74193548388</v>
      </c>
      <c r="BV11">
        <v>400041.29032258072</v>
      </c>
      <c r="BW11">
        <v>455927.3548387097</v>
      </c>
      <c r="BX11">
        <v>288870.41935483873</v>
      </c>
      <c r="BY11">
        <v>463222.83870967739</v>
      </c>
      <c r="BZ11">
        <v>372026.12903225812</v>
      </c>
      <c r="CA11">
        <v>402100.32258064521</v>
      </c>
      <c r="CB11">
        <v>380916.45161290321</v>
      </c>
      <c r="CC11">
        <v>446769.67741935479</v>
      </c>
      <c r="CD11">
        <v>475498.06451612897</v>
      </c>
      <c r="CE11">
        <v>323887.09677419357</v>
      </c>
      <c r="CF11">
        <v>420082.25806451612</v>
      </c>
      <c r="CG11">
        <v>337982.25806451612</v>
      </c>
      <c r="CH11">
        <v>457190.6451612903</v>
      </c>
      <c r="CI11">
        <v>640491.29032258061</v>
      </c>
      <c r="CJ11">
        <v>458314.51612903218</v>
      </c>
      <c r="CK11">
        <v>399531.61290322582</v>
      </c>
      <c r="CL11">
        <v>361298.38709677418</v>
      </c>
      <c r="CM11">
        <v>618270</v>
      </c>
      <c r="CN11">
        <v>332218.06451612897</v>
      </c>
      <c r="CO11">
        <v>341951.29032258072</v>
      </c>
      <c r="CP11">
        <v>281269.48387096782</v>
      </c>
    </row>
    <row r="12" spans="1:94" x14ac:dyDescent="0.25">
      <c r="A12" t="s">
        <v>13</v>
      </c>
      <c r="B12">
        <v>129373.5806451613</v>
      </c>
      <c r="C12">
        <v>137079.03225806449</v>
      </c>
      <c r="D12">
        <v>101014.9677419355</v>
      </c>
      <c r="E12">
        <v>116979.5483870968</v>
      </c>
      <c r="F12">
        <v>28635.419354838708</v>
      </c>
      <c r="G12">
        <v>138991.935483871</v>
      </c>
      <c r="H12">
        <v>219404.12903225809</v>
      </c>
      <c r="I12">
        <v>96301.129032258061</v>
      </c>
      <c r="J12">
        <v>104208.29032258069</v>
      </c>
      <c r="K12">
        <v>136371.32258064521</v>
      </c>
      <c r="L12">
        <v>78453.93548387097</v>
      </c>
      <c r="M12">
        <v>126918.9032258065</v>
      </c>
      <c r="N12">
        <v>125463.4193548387</v>
      </c>
      <c r="O12">
        <v>105446.74193548389</v>
      </c>
      <c r="P12">
        <v>64634.870967741932</v>
      </c>
      <c r="Q12">
        <v>107739.6774193548</v>
      </c>
      <c r="R12">
        <v>165425.80645161291</v>
      </c>
      <c r="S12">
        <v>93977.419354838712</v>
      </c>
      <c r="T12">
        <v>191712.5806451613</v>
      </c>
      <c r="U12">
        <v>123060.3225806452</v>
      </c>
      <c r="V12">
        <v>156571.29032258061</v>
      </c>
      <c r="W12">
        <v>97878.387096774197</v>
      </c>
      <c r="X12">
        <v>185398.064516129</v>
      </c>
      <c r="Y12">
        <v>133813.54838709679</v>
      </c>
      <c r="Z12">
        <v>43246.129032258068</v>
      </c>
      <c r="AA12">
        <v>176352.25806451609</v>
      </c>
      <c r="AB12">
        <v>144590.32258064521</v>
      </c>
      <c r="AC12">
        <v>114501.6129032258</v>
      </c>
      <c r="AD12">
        <v>176084.5161290323</v>
      </c>
      <c r="AE12">
        <v>169139.3548387097</v>
      </c>
      <c r="AF12">
        <v>115381.935483871</v>
      </c>
      <c r="AG12">
        <v>267344.38709677418</v>
      </c>
      <c r="AH12">
        <v>281255.51612903218</v>
      </c>
      <c r="AI12">
        <v>190549.70967741939</v>
      </c>
      <c r="AJ12">
        <v>218681.96774193551</v>
      </c>
      <c r="AK12">
        <v>219685.29032258061</v>
      </c>
      <c r="AL12">
        <v>131343.80645161291</v>
      </c>
      <c r="AM12">
        <v>177810.19354838709</v>
      </c>
      <c r="AN12">
        <v>178935.5806451613</v>
      </c>
      <c r="AO12">
        <v>149606.74193548391</v>
      </c>
      <c r="AP12">
        <v>274141.41935483873</v>
      </c>
      <c r="AQ12">
        <v>227978.74193548391</v>
      </c>
      <c r="AR12">
        <v>226553.83870967739</v>
      </c>
      <c r="AS12">
        <v>270244.41935483873</v>
      </c>
      <c r="AT12">
        <v>223623.064516129</v>
      </c>
      <c r="AU12">
        <v>200291.80645161291</v>
      </c>
      <c r="AV12">
        <v>271061.61290322582</v>
      </c>
      <c r="AW12">
        <v>252463.87096774191</v>
      </c>
      <c r="AX12">
        <v>212621.61290322579</v>
      </c>
      <c r="AY12">
        <v>297163.22580645158</v>
      </c>
      <c r="AZ12">
        <v>341522.90322580643</v>
      </c>
      <c r="BA12">
        <v>334251.61290322582</v>
      </c>
      <c r="BB12">
        <v>205159.03225806449</v>
      </c>
      <c r="BC12">
        <v>244711.935483871</v>
      </c>
      <c r="BD12">
        <v>130864.5161290323</v>
      </c>
      <c r="BE12">
        <v>159696.12903225809</v>
      </c>
      <c r="BF12">
        <v>118197.74193548389</v>
      </c>
      <c r="BG12">
        <v>187957.74193548391</v>
      </c>
      <c r="BH12">
        <v>290143.22580645158</v>
      </c>
      <c r="BI12">
        <v>196414.83870967739</v>
      </c>
      <c r="BJ12">
        <v>170644.83870967739</v>
      </c>
      <c r="BK12">
        <v>241525.09677419349</v>
      </c>
      <c r="BL12">
        <v>305975.22580645158</v>
      </c>
      <c r="BM12">
        <v>372203.74193548388</v>
      </c>
      <c r="BN12">
        <v>480086.25806451612</v>
      </c>
      <c r="BO12">
        <v>275445.25806451612</v>
      </c>
      <c r="BP12">
        <v>412135.74193548388</v>
      </c>
      <c r="BQ12">
        <v>379556.80645161291</v>
      </c>
      <c r="BR12">
        <v>341490.61290322582</v>
      </c>
      <c r="BS12">
        <v>380706.12903225812</v>
      </c>
      <c r="BT12">
        <v>458637.54838709679</v>
      </c>
      <c r="BU12">
        <v>450134.32258064521</v>
      </c>
      <c r="BV12">
        <v>399375.38709677418</v>
      </c>
      <c r="BW12">
        <v>387339.16129032261</v>
      </c>
      <c r="BX12">
        <v>361159.38709677418</v>
      </c>
      <c r="BY12">
        <v>316875.22580645158</v>
      </c>
      <c r="BZ12">
        <v>359903.54838709679</v>
      </c>
      <c r="CA12">
        <v>446010</v>
      </c>
      <c r="CB12">
        <v>356943.22580645158</v>
      </c>
      <c r="CC12">
        <v>431028.38709677418</v>
      </c>
      <c r="CD12">
        <v>518909.67741935479</v>
      </c>
      <c r="CE12">
        <v>469566.45161290321</v>
      </c>
      <c r="CF12">
        <v>346320</v>
      </c>
      <c r="CG12">
        <v>495036.45161290321</v>
      </c>
      <c r="CH12">
        <v>495104.19354838709</v>
      </c>
      <c r="CI12">
        <v>397791.29032258072</v>
      </c>
      <c r="CJ12">
        <v>315415.48387096782</v>
      </c>
      <c r="CK12">
        <v>551141.61290322582</v>
      </c>
      <c r="CL12">
        <v>390141.93548387103</v>
      </c>
      <c r="CM12">
        <v>364979.03225806449</v>
      </c>
      <c r="CN12">
        <v>274308.06451612897</v>
      </c>
      <c r="CO12">
        <v>536473.54838709673</v>
      </c>
      <c r="CP12">
        <v>297882.83870967739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32D47-FD8C-475F-9D83-B7A59AAA3C3A}">
  <dimension ref="A1:C13"/>
  <sheetViews>
    <sheetView workbookViewId="0">
      <selection activeCell="H19" sqref="H19"/>
    </sheetView>
  </sheetViews>
  <sheetFormatPr defaultRowHeight="15" x14ac:dyDescent="0.25"/>
  <cols>
    <col min="1" max="1" width="36.7109375" customWidth="1"/>
  </cols>
  <sheetData>
    <row r="1" spans="1:3" x14ac:dyDescent="0.25">
      <c r="A1" t="s">
        <v>23</v>
      </c>
    </row>
    <row r="2" spans="1:3" ht="15.75" thickBot="1" x14ac:dyDescent="0.3"/>
    <row r="3" spans="1:3" x14ac:dyDescent="0.25">
      <c r="A3" s="8"/>
      <c r="B3" s="8" t="s">
        <v>6</v>
      </c>
      <c r="C3" s="8" t="s">
        <v>10</v>
      </c>
    </row>
    <row r="4" spans="1:3" x14ac:dyDescent="0.25">
      <c r="A4" s="6" t="s">
        <v>24</v>
      </c>
      <c r="B4" s="6">
        <v>1133674.5</v>
      </c>
      <c r="C4" s="6">
        <v>1220253.3500000001</v>
      </c>
    </row>
    <row r="5" spans="1:3" x14ac:dyDescent="0.25">
      <c r="A5" s="6" t="s">
        <v>25</v>
      </c>
      <c r="B5" s="6">
        <v>1053049816.2631578</v>
      </c>
      <c r="C5" s="6">
        <v>45098122.555263162</v>
      </c>
    </row>
    <row r="6" spans="1:3" x14ac:dyDescent="0.25">
      <c r="A6" s="6" t="s">
        <v>26</v>
      </c>
      <c r="B6" s="6">
        <v>20</v>
      </c>
      <c r="C6" s="6">
        <v>20</v>
      </c>
    </row>
    <row r="7" spans="1:3" x14ac:dyDescent="0.25">
      <c r="A7" s="6" t="s">
        <v>27</v>
      </c>
      <c r="B7" s="6">
        <v>0</v>
      </c>
      <c r="C7" s="6"/>
    </row>
    <row r="8" spans="1:3" x14ac:dyDescent="0.25">
      <c r="A8" s="6" t="s">
        <v>28</v>
      </c>
      <c r="B8" s="6">
        <v>21</v>
      </c>
      <c r="C8" s="6"/>
    </row>
    <row r="9" spans="1:3" x14ac:dyDescent="0.25">
      <c r="A9" s="6" t="s">
        <v>29</v>
      </c>
      <c r="B9" s="6">
        <v>-11.68413013435238</v>
      </c>
      <c r="C9" s="6"/>
    </row>
    <row r="10" spans="1:3" x14ac:dyDescent="0.25">
      <c r="A10" s="6" t="s">
        <v>30</v>
      </c>
      <c r="B10" s="6">
        <v>5.9449737286366382E-11</v>
      </c>
      <c r="C10" s="6"/>
    </row>
    <row r="11" spans="1:3" x14ac:dyDescent="0.25">
      <c r="A11" s="6" t="s">
        <v>31</v>
      </c>
      <c r="B11" s="6">
        <v>1.7207429028118781</v>
      </c>
      <c r="C11" s="6"/>
    </row>
    <row r="12" spans="1:3" x14ac:dyDescent="0.25">
      <c r="A12" s="6" t="s">
        <v>32</v>
      </c>
      <c r="B12" s="6">
        <v>1.1889947457273276E-10</v>
      </c>
      <c r="C12" s="6"/>
    </row>
    <row r="13" spans="1:3" ht="15.75" thickBot="1" x14ac:dyDescent="0.3">
      <c r="A13" s="7" t="s">
        <v>33</v>
      </c>
      <c r="B13" s="7">
        <v>2.07961384472768</v>
      </c>
      <c r="C13" s="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03DF9-F973-4C56-8094-B6A89210522E}">
  <dimension ref="A1:C13"/>
  <sheetViews>
    <sheetView workbookViewId="0">
      <selection activeCell="B8" sqref="B8:B13"/>
    </sheetView>
  </sheetViews>
  <sheetFormatPr defaultRowHeight="15" x14ac:dyDescent="0.25"/>
  <cols>
    <col min="1" max="1" width="25.7109375" customWidth="1"/>
  </cols>
  <sheetData>
    <row r="1" spans="1:3" x14ac:dyDescent="0.25">
      <c r="A1" t="s">
        <v>23</v>
      </c>
    </row>
    <row r="2" spans="1:3" ht="15.75" thickBot="1" x14ac:dyDescent="0.3"/>
    <row r="3" spans="1:3" x14ac:dyDescent="0.25">
      <c r="A3" s="8"/>
      <c r="B3" s="8" t="s">
        <v>34</v>
      </c>
      <c r="C3" s="8" t="s">
        <v>35</v>
      </c>
    </row>
    <row r="4" spans="1:3" x14ac:dyDescent="0.25">
      <c r="A4" s="6" t="s">
        <v>24</v>
      </c>
      <c r="B4" s="6">
        <v>262787.69705882354</v>
      </c>
      <c r="C4" s="6">
        <v>217674.56862745099</v>
      </c>
    </row>
    <row r="5" spans="1:3" x14ac:dyDescent="0.25">
      <c r="A5" s="6" t="s">
        <v>25</v>
      </c>
      <c r="B5" s="6">
        <v>92728342.964223072</v>
      </c>
      <c r="C5" s="6">
        <v>55197670.485602729</v>
      </c>
    </row>
    <row r="6" spans="1:3" x14ac:dyDescent="0.25">
      <c r="A6" s="6" t="s">
        <v>26</v>
      </c>
      <c r="B6" s="6">
        <v>20</v>
      </c>
      <c r="C6" s="6">
        <v>20</v>
      </c>
    </row>
    <row r="7" spans="1:3" x14ac:dyDescent="0.25">
      <c r="A7" s="6" t="s">
        <v>27</v>
      </c>
      <c r="B7" s="6">
        <v>0</v>
      </c>
      <c r="C7" s="6"/>
    </row>
    <row r="8" spans="1:3" x14ac:dyDescent="0.25">
      <c r="A8" s="6" t="s">
        <v>28</v>
      </c>
      <c r="B8" s="6">
        <v>36</v>
      </c>
      <c r="C8" s="6"/>
    </row>
    <row r="9" spans="1:3" x14ac:dyDescent="0.25">
      <c r="A9" s="6" t="s">
        <v>29</v>
      </c>
      <c r="B9" s="6">
        <v>16.588062615804191</v>
      </c>
      <c r="C9" s="6"/>
    </row>
    <row r="10" spans="1:3" x14ac:dyDescent="0.25">
      <c r="A10" s="6" t="s">
        <v>30</v>
      </c>
      <c r="B10" s="6">
        <v>9.6516175658954279E-19</v>
      </c>
      <c r="C10" s="6"/>
    </row>
    <row r="11" spans="1:3" x14ac:dyDescent="0.25">
      <c r="A11" s="6" t="s">
        <v>31</v>
      </c>
      <c r="B11" s="6">
        <v>1.6882977141168172</v>
      </c>
      <c r="C11" s="6"/>
    </row>
    <row r="12" spans="1:3" x14ac:dyDescent="0.25">
      <c r="A12" s="6" t="s">
        <v>32</v>
      </c>
      <c r="B12" s="6">
        <v>1.9303235131790856E-18</v>
      </c>
      <c r="C12" s="6"/>
    </row>
    <row r="13" spans="1:3" ht="15.75" thickBot="1" x14ac:dyDescent="0.3">
      <c r="A13" s="7" t="s">
        <v>33</v>
      </c>
      <c r="B13" s="7">
        <v>2.028094000980452</v>
      </c>
      <c r="C13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Charts</vt:lpstr>
      <vt:lpstr>Data Age</vt:lpstr>
      <vt:lpstr>TTest - Energy</vt:lpstr>
      <vt:lpstr>Energy</vt:lpstr>
      <vt:lpstr>Makespan</vt:lpstr>
      <vt:lpstr>Success Rate</vt:lpstr>
      <vt:lpstr>Load Edge</vt:lpstr>
      <vt:lpstr>Load Cloud</vt:lpstr>
      <vt:lpstr>Loads</vt:lpstr>
      <vt:lpstr>TTEST - Makespan</vt:lpstr>
      <vt:lpstr>TTEST - AoI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Mehrab</dc:creator>
  <cp:lastModifiedBy>mehrab</cp:lastModifiedBy>
  <cp:revision>1</cp:revision>
  <dcterms:created xsi:type="dcterms:W3CDTF">2015-06-05T18:17:20Z</dcterms:created>
  <dcterms:modified xsi:type="dcterms:W3CDTF">2025-10-17T11:14:12Z</dcterms:modified>
  <dc:language>en-US</dc:language>
</cp:coreProperties>
</file>