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hrab\Desktop\QUEST\QUEST\result\v3\results-excel\"/>
    </mc:Choice>
  </mc:AlternateContent>
  <xr:revisionPtr revIDLastSave="0" documentId="13_ncr:1_{60883F15-B853-4CDC-BCBF-CCF907053B87}" xr6:coauthVersionLast="47" xr6:coauthVersionMax="47" xr10:uidLastSave="{00000000-0000-0000-0000-000000000000}"/>
  <bookViews>
    <workbookView xWindow="-120" yWindow="-120" windowWidth="29040" windowHeight="15720" tabRatio="500" firstSheet="4" activeTab="10" xr2:uid="{00000000-000D-0000-FFFF-FFFF00000000}"/>
  </bookViews>
  <sheets>
    <sheet name="Charts" sheetId="1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  <sheet name="ANOVA - AoI" sheetId="9" r:id="rId9"/>
    <sheet name="ANOVA - Energy" sheetId="10" r:id="rId10"/>
    <sheet name="ANOVA - Makespan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86" i="1" l="1"/>
  <c r="S83" i="1"/>
  <c r="V75" i="1"/>
  <c r="V90" i="1" s="1"/>
  <c r="U75" i="1"/>
  <c r="U90" i="1" s="1"/>
  <c r="T75" i="1"/>
  <c r="T90" i="1" s="1"/>
  <c r="S75" i="1"/>
  <c r="S90" i="1" s="1"/>
  <c r="V74" i="1"/>
  <c r="V89" i="1" s="1"/>
  <c r="U74" i="1"/>
  <c r="U89" i="1" s="1"/>
  <c r="T74" i="1"/>
  <c r="T89" i="1" s="1"/>
  <c r="S74" i="1"/>
  <c r="S89" i="1" s="1"/>
  <c r="V73" i="1"/>
  <c r="V88" i="1" s="1"/>
  <c r="U73" i="1"/>
  <c r="U88" i="1" s="1"/>
  <c r="T73" i="1"/>
  <c r="T88" i="1" s="1"/>
  <c r="S73" i="1"/>
  <c r="S88" i="1" s="1"/>
  <c r="V72" i="1"/>
  <c r="V87" i="1" s="1"/>
  <c r="U72" i="1"/>
  <c r="U87" i="1" s="1"/>
  <c r="T72" i="1"/>
  <c r="T87" i="1" s="1"/>
  <c r="S72" i="1"/>
  <c r="S87" i="1" s="1"/>
  <c r="V71" i="1"/>
  <c r="U71" i="1"/>
  <c r="U86" i="1" s="1"/>
  <c r="T71" i="1"/>
  <c r="T86" i="1" s="1"/>
  <c r="S71" i="1"/>
  <c r="S86" i="1" s="1"/>
  <c r="V70" i="1"/>
  <c r="V85" i="1" s="1"/>
  <c r="U70" i="1"/>
  <c r="U85" i="1" s="1"/>
  <c r="T70" i="1"/>
  <c r="T85" i="1" s="1"/>
  <c r="S70" i="1"/>
  <c r="S85" i="1" s="1"/>
  <c r="V69" i="1"/>
  <c r="V84" i="1" s="1"/>
  <c r="U69" i="1"/>
  <c r="U84" i="1" s="1"/>
  <c r="T69" i="1"/>
  <c r="T84" i="1" s="1"/>
  <c r="S69" i="1"/>
  <c r="S84" i="1" s="1"/>
  <c r="V68" i="1"/>
  <c r="V83" i="1" s="1"/>
  <c r="U68" i="1"/>
  <c r="U83" i="1" s="1"/>
  <c r="T68" i="1"/>
  <c r="T83" i="1" s="1"/>
  <c r="S68" i="1"/>
  <c r="V44" i="1"/>
  <c r="V59" i="1" s="1"/>
  <c r="U44" i="1"/>
  <c r="U59" i="1" s="1"/>
  <c r="T44" i="1"/>
  <c r="T59" i="1" s="1"/>
  <c r="S44" i="1"/>
  <c r="S59" i="1" s="1"/>
  <c r="V43" i="1"/>
  <c r="V58" i="1" s="1"/>
  <c r="U43" i="1"/>
  <c r="U58" i="1" s="1"/>
  <c r="T43" i="1"/>
  <c r="T58" i="1" s="1"/>
  <c r="S43" i="1"/>
  <c r="S58" i="1" s="1"/>
  <c r="V42" i="1"/>
  <c r="V57" i="1" s="1"/>
  <c r="U42" i="1"/>
  <c r="U57" i="1" s="1"/>
  <c r="T42" i="1"/>
  <c r="T57" i="1" s="1"/>
  <c r="S42" i="1"/>
  <c r="S57" i="1" s="1"/>
  <c r="V41" i="1"/>
  <c r="V56" i="1" s="1"/>
  <c r="U41" i="1"/>
  <c r="U56" i="1" s="1"/>
  <c r="T41" i="1"/>
  <c r="T56" i="1" s="1"/>
  <c r="S41" i="1"/>
  <c r="S56" i="1" s="1"/>
  <c r="V40" i="1"/>
  <c r="V55" i="1" s="1"/>
  <c r="U40" i="1"/>
  <c r="U55" i="1" s="1"/>
  <c r="T40" i="1"/>
  <c r="T55" i="1" s="1"/>
  <c r="S40" i="1"/>
  <c r="S55" i="1" s="1"/>
  <c r="V39" i="1"/>
  <c r="V54" i="1" s="1"/>
  <c r="U39" i="1"/>
  <c r="U54" i="1" s="1"/>
  <c r="T39" i="1"/>
  <c r="T54" i="1" s="1"/>
  <c r="S39" i="1"/>
  <c r="S54" i="1" s="1"/>
  <c r="V38" i="1"/>
  <c r="V53" i="1" s="1"/>
  <c r="U38" i="1"/>
  <c r="U53" i="1" s="1"/>
  <c r="T38" i="1"/>
  <c r="T53" i="1" s="1"/>
  <c r="S38" i="1"/>
  <c r="S53" i="1" s="1"/>
  <c r="V37" i="1"/>
  <c r="V52" i="1" s="1"/>
  <c r="U37" i="1"/>
  <c r="U52" i="1" s="1"/>
  <c r="T37" i="1"/>
  <c r="T52" i="1" s="1"/>
  <c r="S37" i="1"/>
  <c r="S52" i="1" s="1"/>
  <c r="V10" i="1"/>
  <c r="V25" i="1" s="1"/>
  <c r="U10" i="1"/>
  <c r="U25" i="1" s="1"/>
  <c r="T10" i="1"/>
  <c r="T25" i="1" s="1"/>
  <c r="S10" i="1"/>
  <c r="S25" i="1" s="1"/>
  <c r="V9" i="1"/>
  <c r="V24" i="1" s="1"/>
  <c r="U9" i="1"/>
  <c r="U24" i="1" s="1"/>
  <c r="T9" i="1"/>
  <c r="T24" i="1" s="1"/>
  <c r="S9" i="1"/>
  <c r="S24" i="1" s="1"/>
  <c r="V8" i="1"/>
  <c r="V23" i="1" s="1"/>
  <c r="U8" i="1"/>
  <c r="U23" i="1" s="1"/>
  <c r="T8" i="1"/>
  <c r="T23" i="1" s="1"/>
  <c r="S8" i="1"/>
  <c r="S23" i="1" s="1"/>
  <c r="V7" i="1"/>
  <c r="V22" i="1" s="1"/>
  <c r="U7" i="1"/>
  <c r="U22" i="1" s="1"/>
  <c r="T7" i="1"/>
  <c r="T22" i="1" s="1"/>
  <c r="S7" i="1"/>
  <c r="S22" i="1" s="1"/>
  <c r="V6" i="1"/>
  <c r="V21" i="1" s="1"/>
  <c r="U6" i="1"/>
  <c r="U21" i="1" s="1"/>
  <c r="T6" i="1"/>
  <c r="T21" i="1" s="1"/>
  <c r="S6" i="1"/>
  <c r="S21" i="1" s="1"/>
  <c r="V5" i="1"/>
  <c r="V20" i="1" s="1"/>
  <c r="U5" i="1"/>
  <c r="U20" i="1" s="1"/>
  <c r="T5" i="1"/>
  <c r="T20" i="1" s="1"/>
  <c r="S5" i="1"/>
  <c r="S20" i="1" s="1"/>
  <c r="V4" i="1"/>
  <c r="V19" i="1" s="1"/>
  <c r="U4" i="1"/>
  <c r="U19" i="1" s="1"/>
  <c r="T4" i="1"/>
  <c r="T19" i="1" s="1"/>
  <c r="S4" i="1"/>
  <c r="S19" i="1" s="1"/>
  <c r="V3" i="1"/>
  <c r="V18" i="1" s="1"/>
  <c r="U3" i="1"/>
  <c r="U18" i="1" s="1"/>
  <c r="T3" i="1"/>
  <c r="T18" i="1" s="1"/>
  <c r="S3" i="1"/>
  <c r="S18" i="1" s="1"/>
</calcChain>
</file>

<file path=xl/sharedStrings.xml><?xml version="1.0" encoding="utf-8"?>
<sst xmlns="http://schemas.openxmlformats.org/spreadsheetml/2006/main" count="795" uniqueCount="49">
  <si>
    <t>AoI</t>
  </si>
  <si>
    <t>Montage</t>
  </si>
  <si>
    <t>Cybershake</t>
  </si>
  <si>
    <t>Inspiral</t>
  </si>
  <si>
    <t>Epigenomics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</si>
  <si>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</si>
  <si>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</si>
  <si>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</si>
  <si>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</si>
  <si>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</si>
  <si>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</si>
  <si>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</si>
  <si>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</si>
  <si>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Energy</t>
  </si>
  <si>
    <t>Makespan</t>
  </si>
  <si>
    <t>Algorithm</t>
  </si>
  <si>
    <t>Load</t>
  </si>
  <si>
    <t>Average</t>
  </si>
  <si>
    <t>Min</t>
  </si>
  <si>
    <t>Max</t>
  </si>
  <si>
    <t>Std Dev</t>
  </si>
  <si>
    <t>Summary by Algorithm</t>
  </si>
  <si>
    <t>Average data for chart</t>
  </si>
  <si>
    <t>Algorithms</t>
  </si>
  <si>
    <t>All data for chart</t>
  </si>
  <si>
    <t>Load 1</t>
  </si>
  <si>
    <t>Load 2</t>
  </si>
  <si>
    <t>Load 3</t>
  </si>
  <si>
    <t>Load 4</t>
  </si>
  <si>
    <t>Edge</t>
  </si>
  <si>
    <t>Cloud</t>
  </si>
  <si>
    <t>Anova: Two-Factor With Replication</t>
  </si>
  <si>
    <t>SUMMARY</t>
  </si>
  <si>
    <t>Total</t>
  </si>
  <si>
    <t>Count</t>
  </si>
  <si>
    <t>Sum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</si>
  <si>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</si>
  <si>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</si>
  <si>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</si>
  <si>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</si>
  <si>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</si>
  <si>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</si>
  <si>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</si>
  <si>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</si>
  <si>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</si>
  <si>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Sample</t>
  </si>
  <si>
    <t>Columns</t>
  </si>
  <si>
    <t>Interaction</t>
  </si>
  <si>
    <t>Within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</si>
</sst>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7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name val="Calibri"/>
    </font>
    <font>
      <sz val="11"/>
      <color rgb="FF000000"/>
      <name val="Calibri"/>
      <family val="2"/>
      <charset val="1"/>
    </font>
    <font>
      <b/>
      <sz val="11"/>
      <name val="Cambria"/>
      <family val="1"/>
    </font>
    <font>
      <i/>
      <sz val="10"/>
      <color theme="1"/>
      <name val="Calibri"/>
      <family val="2"/>
      <charset val="1"/>
    </font>
    <font>
      <i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1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ill="1" applyBorder="1" applyAlignment="1"/>
    <xf numFmtId="0" fontId="5" fillId="0" borderId="1" xfId="0" applyFont="1" applyFill="1" applyBorder="1" applyAlignment="1">
      <alignment horizontal="right"/>
    </xf>
    <xf numFmtId="0" fontId="0" fillId="0" borderId="2" xfId="0" applyFill="1" applyBorder="1" applyAlignment="1"/>
    <xf numFmtId="0" fontId="6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Charts!$S$18:$V$18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D-4AFA-BE1F-6D76D488ACA4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Charts!$S$19:$V$19</c:f>
              <c:numCache>
                <c:formatCode>General</c:formatCode>
                <c:ptCount val="4"/>
                <c:pt idx="0">
                  <c:v>1.0059575676530812</c:v>
                </c:pt>
                <c:pt idx="1">
                  <c:v>0.8614332432898012</c:v>
                </c:pt>
                <c:pt idx="2">
                  <c:v>0.88363905313097146</c:v>
                </c:pt>
                <c:pt idx="3">
                  <c:v>0.71146257000927338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1D-4AFA-BE1F-6D76D488ACA4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Charts!$S$20:$V$20</c:f>
              <c:numCache>
                <c:formatCode>General</c:formatCode>
                <c:ptCount val="4"/>
                <c:pt idx="0">
                  <c:v>1.155265674865475</c:v>
                </c:pt>
                <c:pt idx="1">
                  <c:v>1.1883441513453497</c:v>
                </c:pt>
                <c:pt idx="2">
                  <c:v>1.1670940924971345</c:v>
                </c:pt>
                <c:pt idx="3">
                  <c:v>0.97647823894467622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1D-4AFA-BE1F-6D76D488ACA4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Charts!$S$21:$V$21</c:f>
              <c:numCache>
                <c:formatCode>General</c:formatCode>
                <c:ptCount val="4"/>
                <c:pt idx="0">
                  <c:v>1.203346354159968</c:v>
                </c:pt>
                <c:pt idx="1">
                  <c:v>1.1584845696077126</c:v>
                </c:pt>
                <c:pt idx="2">
                  <c:v>1.2442427243829328</c:v>
                </c:pt>
                <c:pt idx="3">
                  <c:v>0.95135496653851237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1D-4AFA-BE1F-6D76D488ACA4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Charts!$S$22:$V$22</c:f>
              <c:numCache>
                <c:formatCode>General</c:formatCode>
                <c:ptCount val="4"/>
                <c:pt idx="0">
                  <c:v>1.1925793971924181</c:v>
                </c:pt>
                <c:pt idx="1">
                  <c:v>1.4889440172955797</c:v>
                </c:pt>
                <c:pt idx="2">
                  <c:v>1.2320657128911963</c:v>
                </c:pt>
                <c:pt idx="3">
                  <c:v>0.98359817960011109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1D-4AFA-BE1F-6D76D488ACA4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Charts!$S$23:$V$23</c:f>
              <c:numCache>
                <c:formatCode>General</c:formatCode>
                <c:ptCount val="4"/>
                <c:pt idx="0">
                  <c:v>1.2093853799373286</c:v>
                </c:pt>
                <c:pt idx="1">
                  <c:v>1.3304215767472543</c:v>
                </c:pt>
                <c:pt idx="2">
                  <c:v>1.3684191865328288</c:v>
                </c:pt>
                <c:pt idx="3">
                  <c:v>0.89242758231889585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1D-4AFA-BE1F-6D76D488ACA4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Charts!$S$24:$V$24</c:f>
              <c:numCache>
                <c:formatCode>General</c:formatCode>
                <c:ptCount val="4"/>
                <c:pt idx="0">
                  <c:v>1.1796694811465964</c:v>
                </c:pt>
                <c:pt idx="1">
                  <c:v>1.5612979628497083</c:v>
                </c:pt>
                <c:pt idx="2">
                  <c:v>1.2942010767854615</c:v>
                </c:pt>
                <c:pt idx="3">
                  <c:v>0.95758638838111376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1D-4AFA-BE1F-6D76D488ACA4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Charts!$S$25:$V$25</c:f>
              <c:numCache>
                <c:formatCode>General</c:formatCode>
                <c:ptCount val="4"/>
                <c:pt idx="0">
                  <c:v>1.2008115595977626</c:v>
                </c:pt>
                <c:pt idx="1">
                  <c:v>1.402933625805558</c:v>
                </c:pt>
                <c:pt idx="2">
                  <c:v>1.2670465017959796</c:v>
                </c:pt>
                <c:pt idx="3">
                  <c:v>0.99362779945255242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1D-4AFA-BE1F-6D76D488A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1800000" spcFirstLastPara="1" vertOverflow="ellipsis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Charts!$S$52:$V$52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0-4FAF-B95E-F4847D437E72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Charts!$S$53:$V$53</c:f>
              <c:numCache>
                <c:formatCode>General</c:formatCode>
                <c:ptCount val="4"/>
                <c:pt idx="0">
                  <c:v>0.99515166297584423</c:v>
                </c:pt>
                <c:pt idx="1">
                  <c:v>1.3779672362042876</c:v>
                </c:pt>
                <c:pt idx="2">
                  <c:v>1.2661635927214128</c:v>
                </c:pt>
                <c:pt idx="3">
                  <c:v>1.8611363489235058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40-4FAF-B95E-F4847D437E72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Charts!$S$54:$V$54</c:f>
              <c:numCache>
                <c:formatCode>General</c:formatCode>
                <c:ptCount val="4"/>
                <c:pt idx="0">
                  <c:v>1.0096626618813633</c:v>
                </c:pt>
                <c:pt idx="1">
                  <c:v>1.6516359454543332</c:v>
                </c:pt>
                <c:pt idx="2">
                  <c:v>1.314637873044163</c:v>
                </c:pt>
                <c:pt idx="3">
                  <c:v>2.0894896892486763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40-4FAF-B95E-F4847D437E72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Charts!$S$55:$V$55</c:f>
              <c:numCache>
                <c:formatCode>General</c:formatCode>
                <c:ptCount val="4"/>
                <c:pt idx="0">
                  <c:v>1.1076336618108102</c:v>
                </c:pt>
                <c:pt idx="1">
                  <c:v>1.4929687281772552</c:v>
                </c:pt>
                <c:pt idx="2">
                  <c:v>1.4740108174249742</c:v>
                </c:pt>
                <c:pt idx="3">
                  <c:v>2.3044676555793209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40-4FAF-B95E-F4847D437E72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Charts!$S$56:$V$56</c:f>
              <c:numCache>
                <c:formatCode>General</c:formatCode>
                <c:ptCount val="4"/>
                <c:pt idx="0">
                  <c:v>1.0576541889983484</c:v>
                </c:pt>
                <c:pt idx="1">
                  <c:v>1.4542251098868415</c:v>
                </c:pt>
                <c:pt idx="2">
                  <c:v>1.3690602134631467</c:v>
                </c:pt>
                <c:pt idx="3">
                  <c:v>2.2313630316078039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40-4FAF-B95E-F4847D437E72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Charts!$S$57:$V$57</c:f>
              <c:numCache>
                <c:formatCode>General</c:formatCode>
                <c:ptCount val="4"/>
                <c:pt idx="0">
                  <c:v>1.1003452616355396</c:v>
                </c:pt>
                <c:pt idx="1">
                  <c:v>1.5286400748339402</c:v>
                </c:pt>
                <c:pt idx="2">
                  <c:v>1.4532750721263419</c:v>
                </c:pt>
                <c:pt idx="3">
                  <c:v>2.2166708844869203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40-4FAF-B95E-F4847D437E72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Charts!$S$58:$V$58</c:f>
              <c:numCache>
                <c:formatCode>General</c:formatCode>
                <c:ptCount val="4"/>
                <c:pt idx="0">
                  <c:v>1.0791531177637192</c:v>
                </c:pt>
                <c:pt idx="1">
                  <c:v>1.5196196872618832</c:v>
                </c:pt>
                <c:pt idx="2">
                  <c:v>1.4191002915436435</c:v>
                </c:pt>
                <c:pt idx="3">
                  <c:v>2.268212295619533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40-4FAF-B95E-F4847D437E72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Charts!$S$59:$V$59</c:f>
              <c:numCache>
                <c:formatCode>General</c:formatCode>
                <c:ptCount val="4"/>
                <c:pt idx="0">
                  <c:v>1.0675333300930592</c:v>
                </c:pt>
                <c:pt idx="1">
                  <c:v>1.3976861257258288</c:v>
                </c:pt>
                <c:pt idx="2">
                  <c:v>1.4071415085652565</c:v>
                </c:pt>
                <c:pt idx="3">
                  <c:v>2.2462424681847182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40-4FAF-B95E-F4847D437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1800000" spcFirstLastPara="1" vertOverflow="ellipsis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5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3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Charts!$S$83:$V$83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6-4038-916F-62755B919C7A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Charts!$S$84:$V$84</c:f>
              <c:numCache>
                <c:formatCode>General</c:formatCode>
                <c:ptCount val="4"/>
                <c:pt idx="0">
                  <c:v>0.99240875887586033</c:v>
                </c:pt>
                <c:pt idx="1">
                  <c:v>0.95796050881385963</c:v>
                </c:pt>
                <c:pt idx="2">
                  <c:v>1.0263949108925916</c:v>
                </c:pt>
                <c:pt idx="3">
                  <c:v>0.98683515543265921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A6-4038-916F-62755B919C7A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Charts!$S$85:$V$85</c:f>
              <c:numCache>
                <c:formatCode>General</c:formatCode>
                <c:ptCount val="4"/>
                <c:pt idx="0">
                  <c:v>0.98201405514595863</c:v>
                </c:pt>
                <c:pt idx="1">
                  <c:v>1.1856537358532884</c:v>
                </c:pt>
                <c:pt idx="2">
                  <c:v>1.0486003097151537</c:v>
                </c:pt>
                <c:pt idx="3">
                  <c:v>1.0598369628906201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A6-4038-916F-62755B919C7A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Charts!$S$86:$V$86</c:f>
              <c:numCache>
                <c:formatCode>General</c:formatCode>
                <c:ptCount val="4"/>
                <c:pt idx="0">
                  <c:v>1.1206198819272519</c:v>
                </c:pt>
                <c:pt idx="1">
                  <c:v>1.0498224490361845</c:v>
                </c:pt>
                <c:pt idx="2">
                  <c:v>1.2510531897859731</c:v>
                </c:pt>
                <c:pt idx="3">
                  <c:v>1.2296185594904527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A6-4038-916F-62755B919C7A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Charts!$S$87:$V$87</c:f>
              <c:numCache>
                <c:formatCode>General</c:formatCode>
                <c:ptCount val="4"/>
                <c:pt idx="0">
                  <c:v>1.0531535659874309</c:v>
                </c:pt>
                <c:pt idx="1">
                  <c:v>1.0013839315235009</c:v>
                </c:pt>
                <c:pt idx="2">
                  <c:v>1.123887962479635</c:v>
                </c:pt>
                <c:pt idx="3">
                  <c:v>1.1665579096665666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A6-4038-916F-62755B919C7A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Charts!$S$88:$V$88</c:f>
              <c:numCache>
                <c:formatCode>General</c:formatCode>
                <c:ptCount val="4"/>
                <c:pt idx="0">
                  <c:v>1.1079900597165167</c:v>
                </c:pt>
                <c:pt idx="1">
                  <c:v>1.0789621077324336</c:v>
                </c:pt>
                <c:pt idx="2">
                  <c:v>1.2098824616493709</c:v>
                </c:pt>
                <c:pt idx="3">
                  <c:v>1.1968605281038653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A6-4038-916F-62755B919C7A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Charts!$S$89:$V$89</c:f>
              <c:numCache>
                <c:formatCode>General</c:formatCode>
                <c:ptCount val="4"/>
                <c:pt idx="0">
                  <c:v>1.0780965190303888</c:v>
                </c:pt>
                <c:pt idx="1">
                  <c:v>1.0653351893424932</c:v>
                </c:pt>
                <c:pt idx="2">
                  <c:v>1.1754709748372985</c:v>
                </c:pt>
                <c:pt idx="3">
                  <c:v>1.2095782336864702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A6-4038-916F-62755B919C7A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Charts!$S$90:$V$90</c:f>
              <c:numCache>
                <c:formatCode>General</c:formatCode>
                <c:ptCount val="4"/>
                <c:pt idx="0">
                  <c:v>1.0664286734499551</c:v>
                </c:pt>
                <c:pt idx="1">
                  <c:v>0.97383283057953862</c:v>
                </c:pt>
                <c:pt idx="2">
                  <c:v>1.1701442800437338</c:v>
                </c:pt>
                <c:pt idx="3">
                  <c:v>1.1785507904242969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BA6-4038-916F-62755B919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1800000" spcFirstLastPara="1" vertOverflow="ellipsis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3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R2:V90"/>
  <sheetViews>
    <sheetView topLeftCell="A30" zoomScale="70" zoomScaleNormal="70" workbookViewId="0">
      <selection activeCell="Y43" sqref="Y43"/>
    </sheetView>
  </sheetViews>
  <sheetFormatPr defaultRowHeight="15" x14ac:dyDescent="0.25"/>
  <cols>
    <col min="19" max="19" width="12.28515625" bestFit="1" customWidth="1"/>
  </cols>
  <sheetData>
    <row r="2" spans="18:22" x14ac:dyDescent="0.25">
      <c r="R2" t="s">
        <v>0</v>
      </c>
      <c r="S2" t="s">
        <v>1</v>
      </c>
      <c r="T2" t="s">
        <v>2</v>
      </c>
      <c r="U2" t="s">
        <v>3</v>
      </c>
      <c r="V2" t="s">
        <v>4</v>
      </c>
    </row>
    <row r="3" spans="18:22" x14ac:dyDescent="0.25">
      <c r="R3" s="5" t="s">
        <v>5</v>
      </c>
      <c r="S3">
        <f>'Data Age'!B49</f>
        <v>128146.3516483516</v>
      </c>
      <c r="T3">
        <f>'Data Age'!C49</f>
        <v>166003.62137862141</v>
      </c>
      <c r="U3">
        <f>'Data Age'!D49</f>
        <v>1854410.528971029</v>
      </c>
      <c r="V3">
        <f>'Data Age'!E49</f>
        <v>27903495.34869739</v>
      </c>
    </row>
    <row r="4" spans="18:22" x14ac:dyDescent="0.25">
      <c r="R4" s="5" t="s">
        <v>6</v>
      </c>
      <c r="S4">
        <f>'Data Age'!B50</f>
        <v>128909.7922077922</v>
      </c>
      <c r="T4">
        <f>'Data Age'!C50</f>
        <v>143001.03796203801</v>
      </c>
      <c r="U4">
        <f>'Data Age'!D50</f>
        <v>1638629.563936064</v>
      </c>
      <c r="V4">
        <f>'Data Age'!E50</f>
        <v>19852292.513026051</v>
      </c>
    </row>
    <row r="5" spans="18:22" x14ac:dyDescent="0.25">
      <c r="R5" s="6" t="s">
        <v>7</v>
      </c>
      <c r="S5">
        <f>'Data Age'!B51</f>
        <v>148043.08141858139</v>
      </c>
      <c r="T5">
        <f>'Data Age'!C51</f>
        <v>197269.43256743261</v>
      </c>
      <c r="U5">
        <f>'Data Age'!D51</f>
        <v>2164271.573426574</v>
      </c>
      <c r="V5">
        <f>'Data Age'!E51</f>
        <v>27247155.998496991</v>
      </c>
    </row>
    <row r="6" spans="18:22" x14ac:dyDescent="0.25">
      <c r="R6" s="5" t="s">
        <v>8</v>
      </c>
      <c r="S6">
        <f>'Data Age'!B52</f>
        <v>154204.4450549451</v>
      </c>
      <c r="T6">
        <f>'Data Age'!C52</f>
        <v>192312.6338661339</v>
      </c>
      <c r="U6">
        <f>'Data Age'!D52</f>
        <v>2307336.8086913088</v>
      </c>
      <c r="V6">
        <f>'Data Age'!E52</f>
        <v>26546128.883767541</v>
      </c>
    </row>
    <row r="7" spans="18:22" x14ac:dyDescent="0.25">
      <c r="R7" s="5" t="s">
        <v>9</v>
      </c>
      <c r="S7">
        <f>'Data Age'!B53</f>
        <v>152824.6988011988</v>
      </c>
      <c r="T7">
        <f>'Data Age'!C53</f>
        <v>247170.09890109891</v>
      </c>
      <c r="U7">
        <f>'Data Age'!D53</f>
        <v>2284755.6303696311</v>
      </c>
      <c r="V7">
        <f>'Data Age'!E53</f>
        <v>27445827.229458921</v>
      </c>
    </row>
    <row r="8" spans="18:22" x14ac:dyDescent="0.25">
      <c r="R8" s="5" t="s">
        <v>10</v>
      </c>
      <c r="S8">
        <f>'Data Age'!B54</f>
        <v>154978.32417582421</v>
      </c>
      <c r="T8">
        <f>'Data Age'!C54</f>
        <v>220854.79970029971</v>
      </c>
      <c r="U8">
        <f>'Data Age'!D54</f>
        <v>2537610.9475524481</v>
      </c>
      <c r="V8">
        <f>'Data Age'!E54</f>
        <v>24901848.892284568</v>
      </c>
    </row>
    <row r="9" spans="18:22" x14ac:dyDescent="0.25">
      <c r="R9" s="6" t="s">
        <v>11</v>
      </c>
      <c r="S9">
        <f>'Data Age'!B55</f>
        <v>151170.34015984021</v>
      </c>
      <c r="T9">
        <f>'Data Age'!C55</f>
        <v>259181.11588411589</v>
      </c>
      <c r="U9">
        <f>'Data Age'!D55</f>
        <v>2399980.1033966029</v>
      </c>
      <c r="V9">
        <f>'Data Age'!E55</f>
        <v>26720007.334168341</v>
      </c>
    </row>
    <row r="10" spans="18:22" x14ac:dyDescent="0.25">
      <c r="R10" s="5" t="s">
        <v>12</v>
      </c>
      <c r="S10">
        <f>'Data Age'!B56</f>
        <v>153879.62037962041</v>
      </c>
      <c r="T10">
        <f>'Data Age'!C56</f>
        <v>232892.06243756239</v>
      </c>
      <c r="U10">
        <f>'Data Age'!D56</f>
        <v>2349624.3736263742</v>
      </c>
      <c r="V10">
        <f>'Data Age'!E56</f>
        <v>27725688.68036072</v>
      </c>
    </row>
    <row r="17" spans="18:22" x14ac:dyDescent="0.25">
      <c r="R17" t="s">
        <v>0</v>
      </c>
      <c r="S17" t="s">
        <v>1</v>
      </c>
      <c r="T17" t="s">
        <v>2</v>
      </c>
      <c r="U17" t="s">
        <v>3</v>
      </c>
      <c r="V17" t="s">
        <v>4</v>
      </c>
    </row>
    <row r="18" spans="18:22" x14ac:dyDescent="0.25">
      <c r="R18" s="5" t="s">
        <v>5</v>
      </c>
      <c r="S18">
        <f>S3/S3</f>
        <v>1</v>
      </c>
      <c r="T18">
        <f>T3/T3</f>
        <v>1</v>
      </c>
      <c r="U18">
        <f>U3/U3</f>
        <v>1</v>
      </c>
      <c r="V18">
        <f>V3/V3</f>
        <v>1</v>
      </c>
    </row>
    <row r="19" spans="18:22" x14ac:dyDescent="0.25">
      <c r="R19" s="5" t="s">
        <v>6</v>
      </c>
      <c r="S19">
        <f>S4/S3</f>
        <v>1.0059575676530812</v>
      </c>
      <c r="T19">
        <f>T4/T3</f>
        <v>0.8614332432898012</v>
      </c>
      <c r="U19">
        <f>U4/U3</f>
        <v>0.88363905313097146</v>
      </c>
      <c r="V19">
        <f>V4/V3</f>
        <v>0.71146257000927338</v>
      </c>
    </row>
    <row r="20" spans="18:22" x14ac:dyDescent="0.25">
      <c r="R20" s="6" t="s">
        <v>7</v>
      </c>
      <c r="S20">
        <f>S5/S3</f>
        <v>1.155265674865475</v>
      </c>
      <c r="T20">
        <f>T5/T3</f>
        <v>1.1883441513453497</v>
      </c>
      <c r="U20">
        <f>U5/U3</f>
        <v>1.1670940924971345</v>
      </c>
      <c r="V20">
        <f>V5/V3</f>
        <v>0.97647823894467622</v>
      </c>
    </row>
    <row r="21" spans="18:22" x14ac:dyDescent="0.25">
      <c r="R21" s="5" t="s">
        <v>8</v>
      </c>
      <c r="S21">
        <f>S6/S3</f>
        <v>1.203346354159968</v>
      </c>
      <c r="T21">
        <f>T6/T3</f>
        <v>1.1584845696077126</v>
      </c>
      <c r="U21">
        <f>U6/U3</f>
        <v>1.2442427243829328</v>
      </c>
      <c r="V21">
        <f>V6/V3</f>
        <v>0.95135496653851237</v>
      </c>
    </row>
    <row r="22" spans="18:22" x14ac:dyDescent="0.25">
      <c r="R22" s="5" t="s">
        <v>9</v>
      </c>
      <c r="S22">
        <f>S7/S3</f>
        <v>1.1925793971924181</v>
      </c>
      <c r="T22">
        <f>T7/T3</f>
        <v>1.4889440172955797</v>
      </c>
      <c r="U22">
        <f>U7/U3</f>
        <v>1.2320657128911963</v>
      </c>
      <c r="V22">
        <f>V7/V3</f>
        <v>0.98359817960011109</v>
      </c>
    </row>
    <row r="23" spans="18:22" x14ac:dyDescent="0.25">
      <c r="R23" s="5" t="s">
        <v>10</v>
      </c>
      <c r="S23">
        <f>S8/S3</f>
        <v>1.2093853799373286</v>
      </c>
      <c r="T23">
        <f>T8/T3</f>
        <v>1.3304215767472543</v>
      </c>
      <c r="U23">
        <f>U8/U3</f>
        <v>1.3684191865328288</v>
      </c>
      <c r="V23">
        <f>V8/V3</f>
        <v>0.89242758231889585</v>
      </c>
    </row>
    <row r="24" spans="18:22" x14ac:dyDescent="0.25">
      <c r="R24" s="6" t="s">
        <v>11</v>
      </c>
      <c r="S24">
        <f>S9/S3</f>
        <v>1.1796694811465964</v>
      </c>
      <c r="T24">
        <f>T9/T3</f>
        <v>1.5612979628497083</v>
      </c>
      <c r="U24">
        <f>U9/U3</f>
        <v>1.2942010767854615</v>
      </c>
      <c r="V24">
        <f>V9/V3</f>
        <v>0.95758638838111376</v>
      </c>
    </row>
    <row r="25" spans="18:22" x14ac:dyDescent="0.25">
      <c r="R25" s="5" t="s">
        <v>12</v>
      </c>
      <c r="S25">
        <f>S10/S3</f>
        <v>1.2008115595977626</v>
      </c>
      <c r="T25">
        <f>T10/T3</f>
        <v>1.402933625805558</v>
      </c>
      <c r="U25">
        <f>U10/U3</f>
        <v>1.2670465017959796</v>
      </c>
      <c r="V25">
        <f>V10/V3</f>
        <v>0.99362779945255242</v>
      </c>
    </row>
    <row r="36" spans="18:22" x14ac:dyDescent="0.25">
      <c r="R36" t="s">
        <v>13</v>
      </c>
      <c r="S36" t="s">
        <v>1</v>
      </c>
      <c r="T36" t="s">
        <v>2</v>
      </c>
      <c r="U36" t="s">
        <v>3</v>
      </c>
      <c r="V36" t="s">
        <v>4</v>
      </c>
    </row>
    <row r="37" spans="18:22" x14ac:dyDescent="0.25">
      <c r="R37" s="5" t="s">
        <v>5</v>
      </c>
      <c r="S37">
        <f>Energy!B49</f>
        <v>381260624.16666669</v>
      </c>
      <c r="T37">
        <f>Energy!C49</f>
        <v>708135084.62258053</v>
      </c>
      <c r="U37">
        <f>Energy!D49</f>
        <v>6121336521.642765</v>
      </c>
      <c r="V37">
        <f>Energy!E49</f>
        <v>63633494124.974289</v>
      </c>
    </row>
    <row r="38" spans="18:22" x14ac:dyDescent="0.25">
      <c r="R38" s="5" t="s">
        <v>6</v>
      </c>
      <c r="S38">
        <f>Energy!B50</f>
        <v>379412144.16666669</v>
      </c>
      <c r="T38">
        <f>Energy!C50</f>
        <v>975786945.41666663</v>
      </c>
      <c r="U38">
        <f>Energy!D50</f>
        <v>7750613442.5</v>
      </c>
      <c r="V38">
        <f>Energy!E50</f>
        <v>118430608925</v>
      </c>
    </row>
    <row r="39" spans="18:22" x14ac:dyDescent="0.25">
      <c r="R39" s="6" t="s">
        <v>7</v>
      </c>
      <c r="S39">
        <f>Energy!B51</f>
        <v>384944616.66666669</v>
      </c>
      <c r="T39">
        <f>Energy!C51</f>
        <v>1169581360</v>
      </c>
      <c r="U39">
        <f>Energy!D51</f>
        <v>8047340825</v>
      </c>
      <c r="V39">
        <f>Energy!E51</f>
        <v>132961529865</v>
      </c>
    </row>
    <row r="40" spans="18:22" x14ac:dyDescent="0.25">
      <c r="R40" s="5" t="s">
        <v>8</v>
      </c>
      <c r="S40">
        <f>Energy!B52</f>
        <v>422297101.25000012</v>
      </c>
      <c r="T40">
        <f>Energy!C52</f>
        <v>1057223536.666667</v>
      </c>
      <c r="U40">
        <f>Energy!D52</f>
        <v>9022916250</v>
      </c>
      <c r="V40">
        <f>Energy!E52</f>
        <v>146641329022.5</v>
      </c>
    </row>
    <row r="41" spans="18:22" x14ac:dyDescent="0.25">
      <c r="R41" s="5" t="s">
        <v>9</v>
      </c>
      <c r="S41">
        <f>Energy!B53</f>
        <v>403241896.25</v>
      </c>
      <c r="T41">
        <f>Energy!C53</f>
        <v>1029787821.25</v>
      </c>
      <c r="U41">
        <f>Energy!D53</f>
        <v>8380478285</v>
      </c>
      <c r="V41">
        <f>Energy!E53</f>
        <v>141989426362.5</v>
      </c>
    </row>
    <row r="42" spans="18:22" x14ac:dyDescent="0.25">
      <c r="R42" s="5" t="s">
        <v>10</v>
      </c>
      <c r="S42">
        <f>Energy!B54</f>
        <v>419518321.25</v>
      </c>
      <c r="T42">
        <f>Energy!C54</f>
        <v>1082483668.75</v>
      </c>
      <c r="U42">
        <f>Energy!D54</f>
        <v>8895985775</v>
      </c>
      <c r="V42">
        <f>Energy!E54</f>
        <v>141054513705</v>
      </c>
    </row>
    <row r="43" spans="18:22" x14ac:dyDescent="0.25">
      <c r="R43" s="6" t="s">
        <v>11</v>
      </c>
      <c r="S43">
        <f>Energy!B55</f>
        <v>411438591.25</v>
      </c>
      <c r="T43">
        <f>Energy!C55</f>
        <v>1076096015.833333</v>
      </c>
      <c r="U43">
        <f>Energy!D55</f>
        <v>8686790442.5</v>
      </c>
      <c r="V43">
        <f>Energy!E55</f>
        <v>144334273787.5</v>
      </c>
    </row>
    <row r="44" spans="18:22" x14ac:dyDescent="0.25">
      <c r="R44" s="5" t="s">
        <v>12</v>
      </c>
      <c r="S44">
        <f>Energy!B56</f>
        <v>407008423.75</v>
      </c>
      <c r="T44">
        <f>Energy!C56</f>
        <v>989750582.91666651</v>
      </c>
      <c r="U44">
        <f>Energy!D56</f>
        <v>8613586707.5</v>
      </c>
      <c r="V44">
        <f>Energy!E56</f>
        <v>142936256902.5</v>
      </c>
    </row>
    <row r="51" spans="18:22" x14ac:dyDescent="0.25">
      <c r="R51" t="s">
        <v>13</v>
      </c>
      <c r="S51" t="s">
        <v>1</v>
      </c>
      <c r="T51" t="s">
        <v>2</v>
      </c>
      <c r="U51" t="s">
        <v>3</v>
      </c>
      <c r="V51" t="s">
        <v>4</v>
      </c>
    </row>
    <row r="52" spans="18:22" x14ac:dyDescent="0.25">
      <c r="R52" s="5" t="s">
        <v>5</v>
      </c>
      <c r="S52">
        <f>S37/S37</f>
        <v>1</v>
      </c>
      <c r="T52">
        <f>T37/T37</f>
        <v>1</v>
      </c>
      <c r="U52">
        <f>U37/U37</f>
        <v>1</v>
      </c>
      <c r="V52">
        <f>V37/V37</f>
        <v>1</v>
      </c>
    </row>
    <row r="53" spans="18:22" x14ac:dyDescent="0.25">
      <c r="R53" s="5" t="s">
        <v>6</v>
      </c>
      <c r="S53">
        <f>S38/S37</f>
        <v>0.99515166297584423</v>
      </c>
      <c r="T53">
        <f>T38/T37</f>
        <v>1.3779672362042876</v>
      </c>
      <c r="U53">
        <f>U38/U37</f>
        <v>1.2661635927214128</v>
      </c>
      <c r="V53">
        <f>V38/V37</f>
        <v>1.8611363489235058</v>
      </c>
    </row>
    <row r="54" spans="18:22" x14ac:dyDescent="0.25">
      <c r="R54" s="6" t="s">
        <v>7</v>
      </c>
      <c r="S54">
        <f>S39/S37</f>
        <v>1.0096626618813633</v>
      </c>
      <c r="T54">
        <f>T39/T37</f>
        <v>1.6516359454543332</v>
      </c>
      <c r="U54">
        <f>U39/U37</f>
        <v>1.314637873044163</v>
      </c>
      <c r="V54">
        <f>V39/V37</f>
        <v>2.0894896892486763</v>
      </c>
    </row>
    <row r="55" spans="18:22" x14ac:dyDescent="0.25">
      <c r="R55" s="5" t="s">
        <v>8</v>
      </c>
      <c r="S55">
        <f>S40/S37</f>
        <v>1.1076336618108102</v>
      </c>
      <c r="T55">
        <f>T40/T37</f>
        <v>1.4929687281772552</v>
      </c>
      <c r="U55">
        <f>U40/U37</f>
        <v>1.4740108174249742</v>
      </c>
      <c r="V55">
        <f>V40/V37</f>
        <v>2.3044676555793209</v>
      </c>
    </row>
    <row r="56" spans="18:22" x14ac:dyDescent="0.25">
      <c r="R56" s="5" t="s">
        <v>9</v>
      </c>
      <c r="S56">
        <f>S41/S37</f>
        <v>1.0576541889983484</v>
      </c>
      <c r="T56">
        <f>T41/T37</f>
        <v>1.4542251098868415</v>
      </c>
      <c r="U56">
        <f>U41/U37</f>
        <v>1.3690602134631467</v>
      </c>
      <c r="V56">
        <f>V41/V37</f>
        <v>2.2313630316078039</v>
      </c>
    </row>
    <row r="57" spans="18:22" x14ac:dyDescent="0.25">
      <c r="R57" s="5" t="s">
        <v>10</v>
      </c>
      <c r="S57">
        <f>S42/S37</f>
        <v>1.1003452616355396</v>
      </c>
      <c r="T57">
        <f>T42/T37</f>
        <v>1.5286400748339402</v>
      </c>
      <c r="U57">
        <f>U42/U37</f>
        <v>1.4532750721263419</v>
      </c>
      <c r="V57">
        <f>V42/V37</f>
        <v>2.2166708844869203</v>
      </c>
    </row>
    <row r="58" spans="18:22" x14ac:dyDescent="0.25">
      <c r="R58" s="6" t="s">
        <v>11</v>
      </c>
      <c r="S58">
        <f>S43/S37</f>
        <v>1.0791531177637192</v>
      </c>
      <c r="T58">
        <f>T43/T37</f>
        <v>1.5196196872618832</v>
      </c>
      <c r="U58">
        <f>U43/U37</f>
        <v>1.4191002915436435</v>
      </c>
      <c r="V58">
        <f>V43/V37</f>
        <v>2.268212295619533</v>
      </c>
    </row>
    <row r="59" spans="18:22" x14ac:dyDescent="0.25">
      <c r="R59" s="5" t="s">
        <v>12</v>
      </c>
      <c r="S59">
        <f>S44/S37</f>
        <v>1.0675333300930592</v>
      </c>
      <c r="T59">
        <f>T44/T37</f>
        <v>1.3976861257258288</v>
      </c>
      <c r="U59">
        <f>U44/U37</f>
        <v>1.4071415085652565</v>
      </c>
      <c r="V59">
        <f>V44/V37</f>
        <v>2.2462424681847182</v>
      </c>
    </row>
    <row r="67" spans="18:22" x14ac:dyDescent="0.25">
      <c r="R67" t="s">
        <v>14</v>
      </c>
      <c r="S67" t="s">
        <v>1</v>
      </c>
      <c r="T67" t="s">
        <v>2</v>
      </c>
      <c r="U67" t="s">
        <v>3</v>
      </c>
      <c r="V67" t="s">
        <v>4</v>
      </c>
    </row>
    <row r="68" spans="18:22" x14ac:dyDescent="0.25">
      <c r="R68" s="5" t="s">
        <v>5</v>
      </c>
      <c r="S68">
        <f>Makespan!B49</f>
        <v>1176224</v>
      </c>
      <c r="T68">
        <f>Makespan!C49</f>
        <v>3281593</v>
      </c>
      <c r="U68">
        <f>Makespan!D49</f>
        <v>21830704.5</v>
      </c>
      <c r="V68">
        <f>Makespan!E49</f>
        <v>351100005.5</v>
      </c>
    </row>
    <row r="69" spans="18:22" x14ac:dyDescent="0.25">
      <c r="R69" s="5" t="s">
        <v>6</v>
      </c>
      <c r="S69">
        <f>Makespan!B50</f>
        <v>1167295</v>
      </c>
      <c r="T69">
        <f>Makespan!C50</f>
        <v>3143636.5</v>
      </c>
      <c r="U69">
        <f>Makespan!D50</f>
        <v>22406924</v>
      </c>
      <c r="V69">
        <f>Makespan!E50</f>
        <v>346477828.5</v>
      </c>
    </row>
    <row r="70" spans="18:22" x14ac:dyDescent="0.25">
      <c r="R70" s="6" t="s">
        <v>7</v>
      </c>
      <c r="S70">
        <f>Makespan!B51</f>
        <v>1155068.5</v>
      </c>
      <c r="T70">
        <f>Makespan!C51</f>
        <v>3890833</v>
      </c>
      <c r="U70">
        <f>Makespan!D51</f>
        <v>22891683.5</v>
      </c>
      <c r="V70">
        <f>Makespan!E51</f>
        <v>372108763.5</v>
      </c>
    </row>
    <row r="71" spans="18:22" x14ac:dyDescent="0.25">
      <c r="R71" s="5" t="s">
        <v>8</v>
      </c>
      <c r="S71">
        <f>Makespan!B52</f>
        <v>1318100</v>
      </c>
      <c r="T71">
        <f>Makespan!C52</f>
        <v>3445090</v>
      </c>
      <c r="U71">
        <f>Makespan!D52</f>
        <v>27311372.5</v>
      </c>
      <c r="V71">
        <f>Makespan!E52</f>
        <v>431719083</v>
      </c>
    </row>
    <row r="72" spans="18:22" x14ac:dyDescent="0.25">
      <c r="R72" s="5" t="s">
        <v>9</v>
      </c>
      <c r="S72">
        <f>Makespan!B53</f>
        <v>1238744.5</v>
      </c>
      <c r="T72">
        <f>Makespan!C53</f>
        <v>3286134.5</v>
      </c>
      <c r="U72">
        <f>Makespan!D53</f>
        <v>24535266</v>
      </c>
      <c r="V72">
        <f>Makespan!E53</f>
        <v>409578488.5</v>
      </c>
    </row>
    <row r="73" spans="18:22" x14ac:dyDescent="0.25">
      <c r="R73" s="5" t="s">
        <v>10</v>
      </c>
      <c r="S73">
        <f>Makespan!B54</f>
        <v>1303244.5</v>
      </c>
      <c r="T73">
        <f>Makespan!C54</f>
        <v>3540714.5</v>
      </c>
      <c r="U73">
        <f>Makespan!D54</f>
        <v>26412586.5</v>
      </c>
      <c r="V73">
        <f>Makespan!E54</f>
        <v>420217738</v>
      </c>
    </row>
    <row r="74" spans="18:22" x14ac:dyDescent="0.25">
      <c r="R74" s="6" t="s">
        <v>11</v>
      </c>
      <c r="S74">
        <f>Makespan!B55</f>
        <v>1268083</v>
      </c>
      <c r="T74">
        <f>Makespan!C55</f>
        <v>3495996.5</v>
      </c>
      <c r="U74">
        <f>Makespan!D55</f>
        <v>25661359.5</v>
      </c>
      <c r="V74">
        <f>Makespan!E55</f>
        <v>424682924.5</v>
      </c>
    </row>
    <row r="75" spans="18:22" x14ac:dyDescent="0.25">
      <c r="R75" s="5" t="s">
        <v>12</v>
      </c>
      <c r="S75">
        <f>Makespan!B56</f>
        <v>1254359</v>
      </c>
      <c r="T75">
        <f>Makespan!C56</f>
        <v>3195723</v>
      </c>
      <c r="U75">
        <f>Makespan!D56</f>
        <v>25545074</v>
      </c>
      <c r="V75">
        <f>Makespan!E56</f>
        <v>413789189</v>
      </c>
    </row>
    <row r="82" spans="18:22" x14ac:dyDescent="0.25">
      <c r="R82" t="s">
        <v>14</v>
      </c>
      <c r="S82" t="s">
        <v>1</v>
      </c>
      <c r="T82" t="s">
        <v>2</v>
      </c>
      <c r="U82" t="s">
        <v>3</v>
      </c>
      <c r="V82" t="s">
        <v>4</v>
      </c>
    </row>
    <row r="83" spans="18:22" x14ac:dyDescent="0.25">
      <c r="R83" s="5" t="s">
        <v>5</v>
      </c>
      <c r="S83">
        <f>S68/S68</f>
        <v>1</v>
      </c>
      <c r="T83">
        <f>T68/T68</f>
        <v>1</v>
      </c>
      <c r="U83">
        <f>U68/U68</f>
        <v>1</v>
      </c>
      <c r="V83">
        <f>V68/V68</f>
        <v>1</v>
      </c>
    </row>
    <row r="84" spans="18:22" x14ac:dyDescent="0.25">
      <c r="R84" s="5" t="s">
        <v>6</v>
      </c>
      <c r="S84">
        <f>S69/S68</f>
        <v>0.99240875887586033</v>
      </c>
      <c r="T84">
        <f>T69/T68</f>
        <v>0.95796050881385963</v>
      </c>
      <c r="U84">
        <f>U69/U68</f>
        <v>1.0263949108925916</v>
      </c>
      <c r="V84">
        <f>V69/V68</f>
        <v>0.98683515543265921</v>
      </c>
    </row>
    <row r="85" spans="18:22" x14ac:dyDescent="0.25">
      <c r="R85" s="6" t="s">
        <v>7</v>
      </c>
      <c r="S85">
        <f>S70/S68</f>
        <v>0.98201405514595863</v>
      </c>
      <c r="T85">
        <f>T70/T68</f>
        <v>1.1856537358532884</v>
      </c>
      <c r="U85">
        <f>U70/U68</f>
        <v>1.0486003097151537</v>
      </c>
      <c r="V85">
        <f>V70/V68</f>
        <v>1.0598369628906201</v>
      </c>
    </row>
    <row r="86" spans="18:22" x14ac:dyDescent="0.25">
      <c r="R86" s="5" t="s">
        <v>8</v>
      </c>
      <c r="S86">
        <f>S71/S68</f>
        <v>1.1206198819272519</v>
      </c>
      <c r="T86">
        <f>T71/T68</f>
        <v>1.0498224490361845</v>
      </c>
      <c r="U86">
        <f>U71/U68</f>
        <v>1.2510531897859731</v>
      </c>
      <c r="V86">
        <f>V71/V68</f>
        <v>1.2296185594904527</v>
      </c>
    </row>
    <row r="87" spans="18:22" x14ac:dyDescent="0.25">
      <c r="R87" s="5" t="s">
        <v>9</v>
      </c>
      <c r="S87">
        <f>S72/S68</f>
        <v>1.0531535659874309</v>
      </c>
      <c r="T87">
        <f>T72/T68</f>
        <v>1.0013839315235009</v>
      </c>
      <c r="U87">
        <f>U72/U68</f>
        <v>1.123887962479635</v>
      </c>
      <c r="V87">
        <f>V72/V68</f>
        <v>1.1665579096665666</v>
      </c>
    </row>
    <row r="88" spans="18:22" x14ac:dyDescent="0.25">
      <c r="R88" s="5" t="s">
        <v>10</v>
      </c>
      <c r="S88">
        <f>S73/S68</f>
        <v>1.1079900597165167</v>
      </c>
      <c r="T88">
        <f>T73/T68</f>
        <v>1.0789621077324336</v>
      </c>
      <c r="U88">
        <f>U73/U68</f>
        <v>1.2098824616493709</v>
      </c>
      <c r="V88">
        <f>V73/V68</f>
        <v>1.1968605281038653</v>
      </c>
    </row>
    <row r="89" spans="18:22" x14ac:dyDescent="0.25">
      <c r="R89" s="6" t="s">
        <v>11</v>
      </c>
      <c r="S89">
        <f>S74/S68</f>
        <v>1.0780965190303888</v>
      </c>
      <c r="T89">
        <f>T74/T68</f>
        <v>1.0653351893424932</v>
      </c>
      <c r="U89">
        <f>U74/U68</f>
        <v>1.1754709748372985</v>
      </c>
      <c r="V89">
        <f>V74/V68</f>
        <v>1.2095782336864702</v>
      </c>
    </row>
    <row r="90" spans="18:22" x14ac:dyDescent="0.25">
      <c r="R90" s="5" t="s">
        <v>12</v>
      </c>
      <c r="S90">
        <f>S75/S68</f>
        <v>1.0664286734499551</v>
      </c>
      <c r="T90">
        <f>T75/T68</f>
        <v>0.97383283057953862</v>
      </c>
      <c r="U90">
        <f>U75/U68</f>
        <v>1.1701442800437338</v>
      </c>
      <c r="V90">
        <f>V75/V68</f>
        <v>1.1785507904242969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0"/>
  <sheetViews>
    <sheetView topLeftCell="A66" zoomScaleNormal="100" workbookViewId="0">
      <selection activeCell="A73" sqref="A73:E90"/>
    </sheetView>
  </sheetViews>
  <sheetFormatPr defaultColWidth="8.5703125" defaultRowHeight="15" x14ac:dyDescent="0.25"/>
  <cols>
    <col min="1" max="1" width="24" customWidth="1"/>
    <col min="2" max="5" width="20" customWidth="1"/>
    <col min="6" max="6" width="21" customWidth="1"/>
    <col min="7" max="52" width="20" customWidth="1"/>
    <col min="53" max="53" width="19" customWidth="1"/>
    <col min="54" max="54" width="20" customWidth="1"/>
    <col min="55" max="55" width="19" customWidth="1"/>
    <col min="56" max="57" width="20" customWidth="1"/>
    <col min="58" max="58" width="19" customWidth="1"/>
    <col min="59" max="59" width="20" customWidth="1"/>
    <col min="60" max="60" width="19" customWidth="1"/>
    <col min="61" max="61" width="20" customWidth="1"/>
  </cols>
  <sheetData>
    <row r="1" spans="1:6" ht="15" customHeight="1" x14ac:dyDescent="0.2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 x14ac:dyDescent="0.25">
      <c r="A2" t="s">
        <v>5</v>
      </c>
      <c r="B2">
        <v>1</v>
      </c>
      <c r="C2">
        <v>128146.3516483516</v>
      </c>
      <c r="D2">
        <v>125121.12487512489</v>
      </c>
      <c r="E2">
        <v>131171.57842157839</v>
      </c>
      <c r="F2">
        <v>3025.2267732267719</v>
      </c>
    </row>
    <row r="3" spans="1:6" x14ac:dyDescent="0.25">
      <c r="A3" t="s">
        <v>5</v>
      </c>
      <c r="B3">
        <v>2</v>
      </c>
      <c r="C3">
        <v>166003.62137862141</v>
      </c>
      <c r="D3">
        <v>164513.63236763241</v>
      </c>
      <c r="E3">
        <v>167493.6103896104</v>
      </c>
      <c r="F3">
        <v>1489.9890109890109</v>
      </c>
    </row>
    <row r="4" spans="1:6" x14ac:dyDescent="0.25">
      <c r="A4" t="s">
        <v>5</v>
      </c>
      <c r="B4">
        <v>3</v>
      </c>
      <c r="C4">
        <v>1854410.528971029</v>
      </c>
      <c r="D4">
        <v>1686347.1068931071</v>
      </c>
      <c r="E4">
        <v>2022473.9510489509</v>
      </c>
      <c r="F4">
        <v>168063.42207792221</v>
      </c>
    </row>
    <row r="5" spans="1:6" x14ac:dyDescent="0.25">
      <c r="A5" t="s">
        <v>5</v>
      </c>
      <c r="B5">
        <v>4</v>
      </c>
      <c r="C5">
        <v>27903495.34869739</v>
      </c>
      <c r="D5">
        <v>27597258.900801599</v>
      </c>
      <c r="E5">
        <v>28209731.796593189</v>
      </c>
      <c r="F5">
        <v>306236.44789579138</v>
      </c>
    </row>
    <row r="6" spans="1:6" x14ac:dyDescent="0.25">
      <c r="A6" t="s">
        <v>6</v>
      </c>
      <c r="B6">
        <v>1</v>
      </c>
      <c r="C6">
        <v>128909.7922077922</v>
      </c>
      <c r="D6">
        <v>127479.3416583417</v>
      </c>
      <c r="E6">
        <v>130340.2427572428</v>
      </c>
      <c r="F6">
        <v>1430.4505494505499</v>
      </c>
    </row>
    <row r="7" spans="1:6" x14ac:dyDescent="0.25">
      <c r="A7" t="s">
        <v>6</v>
      </c>
      <c r="B7">
        <v>2</v>
      </c>
      <c r="C7">
        <v>143001.03796203801</v>
      </c>
      <c r="D7">
        <v>141695.23376623381</v>
      </c>
      <c r="E7">
        <v>144306.84215784221</v>
      </c>
      <c r="F7">
        <v>1305.8041958042011</v>
      </c>
    </row>
    <row r="8" spans="1:6" x14ac:dyDescent="0.25">
      <c r="A8" t="s">
        <v>6</v>
      </c>
      <c r="B8">
        <v>3</v>
      </c>
      <c r="C8">
        <v>1638629.563936064</v>
      </c>
      <c r="D8">
        <v>1599893.267732268</v>
      </c>
      <c r="E8">
        <v>1677365.8601398601</v>
      </c>
      <c r="F8">
        <v>38736.29620379617</v>
      </c>
    </row>
    <row r="9" spans="1:6" x14ac:dyDescent="0.25">
      <c r="A9" t="s">
        <v>6</v>
      </c>
      <c r="B9">
        <v>4</v>
      </c>
      <c r="C9">
        <v>19852292.513026051</v>
      </c>
      <c r="D9">
        <v>18684487.716432869</v>
      </c>
      <c r="E9">
        <v>21020097.30961924</v>
      </c>
      <c r="F9">
        <v>1167804.796593186</v>
      </c>
    </row>
    <row r="10" spans="1:6" x14ac:dyDescent="0.25">
      <c r="A10" t="s">
        <v>7</v>
      </c>
      <c r="B10">
        <v>1</v>
      </c>
      <c r="C10">
        <v>148043.08141858139</v>
      </c>
      <c r="D10">
        <v>148041.89510489511</v>
      </c>
      <c r="E10">
        <v>148044.2677322677</v>
      </c>
      <c r="F10">
        <v>1.1863136863103141</v>
      </c>
    </row>
    <row r="11" spans="1:6" x14ac:dyDescent="0.25">
      <c r="A11" t="s">
        <v>7</v>
      </c>
      <c r="B11">
        <v>2</v>
      </c>
      <c r="C11">
        <v>197269.43256743261</v>
      </c>
      <c r="D11">
        <v>197267.89010989011</v>
      </c>
      <c r="E11">
        <v>197270.97502497499</v>
      </c>
      <c r="F11">
        <v>1.54245754245494</v>
      </c>
    </row>
    <row r="12" spans="1:6" ht="15" customHeight="1" x14ac:dyDescent="0.25">
      <c r="A12" s="1" t="s">
        <v>7</v>
      </c>
      <c r="B12">
        <v>3</v>
      </c>
      <c r="C12">
        <v>2164271.573426574</v>
      </c>
      <c r="D12">
        <v>2164271.323676324</v>
      </c>
      <c r="E12">
        <v>2164271.8231768231</v>
      </c>
      <c r="F12">
        <v>0.24975024978630239</v>
      </c>
    </row>
    <row r="13" spans="1:6" x14ac:dyDescent="0.25">
      <c r="A13" t="s">
        <v>7</v>
      </c>
      <c r="B13">
        <v>4</v>
      </c>
      <c r="C13">
        <v>27247155.998496991</v>
      </c>
      <c r="D13">
        <v>27247155.382765532</v>
      </c>
      <c r="E13">
        <v>27247156.614228461</v>
      </c>
      <c r="F13">
        <v>0.61573146283626556</v>
      </c>
    </row>
    <row r="14" spans="1:6" x14ac:dyDescent="0.25">
      <c r="A14" t="s">
        <v>8</v>
      </c>
      <c r="B14">
        <v>1</v>
      </c>
      <c r="C14">
        <v>154204.4450549451</v>
      </c>
      <c r="D14">
        <v>146223.57842157839</v>
      </c>
      <c r="E14">
        <v>162185.31168831169</v>
      </c>
      <c r="F14">
        <v>7980.8666333666333</v>
      </c>
    </row>
    <row r="15" spans="1:6" x14ac:dyDescent="0.25">
      <c r="A15" t="s">
        <v>8</v>
      </c>
      <c r="B15">
        <v>2</v>
      </c>
      <c r="C15">
        <v>192312.6338661339</v>
      </c>
      <c r="D15">
        <v>175758.68331668331</v>
      </c>
      <c r="E15">
        <v>208866.5844155844</v>
      </c>
      <c r="F15">
        <v>16553.950549450561</v>
      </c>
    </row>
    <row r="16" spans="1:6" x14ac:dyDescent="0.25">
      <c r="A16" t="s">
        <v>8</v>
      </c>
      <c r="B16">
        <v>3</v>
      </c>
      <c r="C16">
        <v>2307336.8086913088</v>
      </c>
      <c r="D16">
        <v>2070255.140859141</v>
      </c>
      <c r="E16">
        <v>2544418.4765234771</v>
      </c>
      <c r="F16">
        <v>237081.66783216791</v>
      </c>
    </row>
    <row r="17" spans="1:6" x14ac:dyDescent="0.25">
      <c r="A17" t="s">
        <v>8</v>
      </c>
      <c r="B17">
        <v>4</v>
      </c>
      <c r="C17">
        <v>26546128.883767541</v>
      </c>
      <c r="D17">
        <v>26528356.466933869</v>
      </c>
      <c r="E17">
        <v>26563901.300601199</v>
      </c>
      <c r="F17">
        <v>17772.416833667081</v>
      </c>
    </row>
    <row r="18" spans="1:6" x14ac:dyDescent="0.25">
      <c r="A18" t="s">
        <v>9</v>
      </c>
      <c r="B18">
        <v>1</v>
      </c>
      <c r="C18">
        <v>152824.6988011988</v>
      </c>
      <c r="D18">
        <v>149438.4615384615</v>
      </c>
      <c r="E18">
        <v>156210.9360639361</v>
      </c>
      <c r="F18">
        <v>3386.2372627372679</v>
      </c>
    </row>
    <row r="19" spans="1:6" x14ac:dyDescent="0.25">
      <c r="A19" t="s">
        <v>9</v>
      </c>
      <c r="B19">
        <v>2</v>
      </c>
      <c r="C19">
        <v>247170.09890109891</v>
      </c>
      <c r="D19">
        <v>185176.0569430569</v>
      </c>
      <c r="E19">
        <v>309164.14085914078</v>
      </c>
      <c r="F19">
        <v>61994.041958041948</v>
      </c>
    </row>
    <row r="20" spans="1:6" ht="15" customHeight="1" x14ac:dyDescent="0.25">
      <c r="A20" s="1" t="s">
        <v>9</v>
      </c>
      <c r="B20">
        <v>3</v>
      </c>
      <c r="C20">
        <v>2284755.6303696311</v>
      </c>
      <c r="D20">
        <v>2174651.3316683322</v>
      </c>
      <c r="E20">
        <v>2394859.9290709291</v>
      </c>
      <c r="F20">
        <v>110104.2987012987</v>
      </c>
    </row>
    <row r="21" spans="1:6" x14ac:dyDescent="0.25">
      <c r="A21" t="s">
        <v>9</v>
      </c>
      <c r="B21">
        <v>4</v>
      </c>
      <c r="C21">
        <v>27445827.229458921</v>
      </c>
      <c r="D21">
        <v>26350513.322645292</v>
      </c>
      <c r="E21">
        <v>28541141.13627255</v>
      </c>
      <c r="F21">
        <v>1095313.9068136271</v>
      </c>
    </row>
    <row r="22" spans="1:6" x14ac:dyDescent="0.25">
      <c r="A22" t="s">
        <v>10</v>
      </c>
      <c r="B22">
        <v>1</v>
      </c>
      <c r="C22">
        <v>154978.32417582421</v>
      </c>
      <c r="D22">
        <v>151998.16883116879</v>
      </c>
      <c r="E22">
        <v>157958.47952047951</v>
      </c>
      <c r="F22">
        <v>2980.1553446553448</v>
      </c>
    </row>
    <row r="23" spans="1:6" ht="15" customHeight="1" x14ac:dyDescent="0.25">
      <c r="A23" s="1" t="s">
        <v>10</v>
      </c>
      <c r="B23">
        <v>2</v>
      </c>
      <c r="C23">
        <v>220854.79970029971</v>
      </c>
      <c r="D23">
        <v>207749.62737262741</v>
      </c>
      <c r="E23">
        <v>233959.97202797199</v>
      </c>
      <c r="F23">
        <v>13105.172327672321</v>
      </c>
    </row>
    <row r="24" spans="1:6" x14ac:dyDescent="0.25">
      <c r="A24" t="s">
        <v>10</v>
      </c>
      <c r="B24">
        <v>3</v>
      </c>
      <c r="C24">
        <v>2537610.9475524481</v>
      </c>
      <c r="D24">
        <v>2398768.3856143858</v>
      </c>
      <c r="E24">
        <v>2676453.50949051</v>
      </c>
      <c r="F24">
        <v>138842.56193806179</v>
      </c>
    </row>
    <row r="25" spans="1:6" x14ac:dyDescent="0.25">
      <c r="A25" t="s">
        <v>10</v>
      </c>
      <c r="B25">
        <v>4</v>
      </c>
      <c r="C25">
        <v>24901848.892284568</v>
      </c>
      <c r="D25">
        <v>23871059.790581159</v>
      </c>
      <c r="E25">
        <v>25932637.993987981</v>
      </c>
      <c r="F25">
        <v>1030789.101703407</v>
      </c>
    </row>
    <row r="26" spans="1:6" x14ac:dyDescent="0.25">
      <c r="A26" t="s">
        <v>11</v>
      </c>
      <c r="B26">
        <v>1</v>
      </c>
      <c r="C26">
        <v>151170.34015984021</v>
      </c>
      <c r="D26">
        <v>147131.7912087912</v>
      </c>
      <c r="E26">
        <v>155208.88911088911</v>
      </c>
      <c r="F26">
        <v>4038.548951048957</v>
      </c>
    </row>
    <row r="27" spans="1:6" x14ac:dyDescent="0.25">
      <c r="A27" t="s">
        <v>11</v>
      </c>
      <c r="B27">
        <v>2</v>
      </c>
      <c r="C27">
        <v>259181.11588411589</v>
      </c>
      <c r="D27">
        <v>229684.23076923081</v>
      </c>
      <c r="E27">
        <v>288678.00099900097</v>
      </c>
      <c r="F27">
        <v>29496.885114885099</v>
      </c>
    </row>
    <row r="28" spans="1:6" ht="15" customHeight="1" x14ac:dyDescent="0.25">
      <c r="A28" s="1" t="s">
        <v>11</v>
      </c>
      <c r="B28">
        <v>3</v>
      </c>
      <c r="C28">
        <v>2399980.1033966029</v>
      </c>
      <c r="D28">
        <v>2142887.7582417582</v>
      </c>
      <c r="E28">
        <v>2657072.448551449</v>
      </c>
      <c r="F28">
        <v>257092.34515484521</v>
      </c>
    </row>
    <row r="29" spans="1:6" x14ac:dyDescent="0.25">
      <c r="A29" t="s">
        <v>11</v>
      </c>
      <c r="B29">
        <v>4</v>
      </c>
      <c r="C29">
        <v>26720007.334168341</v>
      </c>
      <c r="D29">
        <v>26038537.17635271</v>
      </c>
      <c r="E29">
        <v>27401477.491983969</v>
      </c>
      <c r="F29">
        <v>681470.15781563148</v>
      </c>
    </row>
    <row r="30" spans="1:6" x14ac:dyDescent="0.25">
      <c r="A30" t="s">
        <v>12</v>
      </c>
      <c r="B30">
        <v>1</v>
      </c>
      <c r="C30">
        <v>153879.62037962041</v>
      </c>
      <c r="D30">
        <v>150473.4065934066</v>
      </c>
      <c r="E30">
        <v>157285.83416583421</v>
      </c>
      <c r="F30">
        <v>3406.2137862137752</v>
      </c>
    </row>
    <row r="31" spans="1:6" ht="15" customHeight="1" x14ac:dyDescent="0.25">
      <c r="A31" s="1" t="s">
        <v>12</v>
      </c>
      <c r="B31">
        <v>2</v>
      </c>
      <c r="C31">
        <v>232892.06243756239</v>
      </c>
      <c r="D31">
        <v>225682.4015984016</v>
      </c>
      <c r="E31">
        <v>240101.72327672329</v>
      </c>
      <c r="F31">
        <v>7209.6608391608324</v>
      </c>
    </row>
    <row r="32" spans="1:6" x14ac:dyDescent="0.25">
      <c r="A32" t="s">
        <v>12</v>
      </c>
      <c r="B32">
        <v>3</v>
      </c>
      <c r="C32">
        <v>2349624.3736263742</v>
      </c>
      <c r="D32">
        <v>2241182.724275724</v>
      </c>
      <c r="E32">
        <v>2458066.0229770229</v>
      </c>
      <c r="F32">
        <v>108441.6493506492</v>
      </c>
    </row>
    <row r="33" spans="1:6" x14ac:dyDescent="0.25">
      <c r="A33" t="s">
        <v>12</v>
      </c>
      <c r="B33">
        <v>4</v>
      </c>
      <c r="C33">
        <v>27725688.68036072</v>
      </c>
      <c r="D33">
        <v>26321964.90480962</v>
      </c>
      <c r="E33">
        <v>29129412.455911819</v>
      </c>
      <c r="F33">
        <v>1403723.775551101</v>
      </c>
    </row>
    <row r="35" spans="1:6" ht="15" customHeight="1" x14ac:dyDescent="0.25">
      <c r="A35" s="1"/>
    </row>
    <row r="36" spans="1:6" ht="15" customHeight="1" x14ac:dyDescent="0.25">
      <c r="A36" s="4" t="s">
        <v>21</v>
      </c>
    </row>
    <row r="37" spans="1:6" x14ac:dyDescent="0.25">
      <c r="A37" t="s">
        <v>5</v>
      </c>
      <c r="C37">
        <v>7513013.9626738494</v>
      </c>
      <c r="D37">
        <v>125121.12487512489</v>
      </c>
      <c r="E37">
        <v>28209731.796593189</v>
      </c>
      <c r="F37">
        <v>11794367.215000169</v>
      </c>
    </row>
    <row r="38" spans="1:6" x14ac:dyDescent="0.25">
      <c r="A38" t="s">
        <v>6</v>
      </c>
      <c r="C38">
        <v>5440708.226782986</v>
      </c>
      <c r="D38">
        <v>127479.3416583417</v>
      </c>
      <c r="E38">
        <v>21020097.30961924</v>
      </c>
      <c r="F38">
        <v>8363547.9935387997</v>
      </c>
    </row>
    <row r="39" spans="1:6" ht="15" customHeight="1" x14ac:dyDescent="0.25">
      <c r="A39" s="1" t="s">
        <v>7</v>
      </c>
      <c r="C39">
        <v>7439185.0214773957</v>
      </c>
      <c r="D39">
        <v>148041.89510489511</v>
      </c>
      <c r="E39">
        <v>27247156.614228461</v>
      </c>
      <c r="F39">
        <v>11465017.643879401</v>
      </c>
    </row>
    <row r="40" spans="1:6" x14ac:dyDescent="0.25">
      <c r="A40" t="s">
        <v>8</v>
      </c>
      <c r="C40">
        <v>7299995.6928449813</v>
      </c>
      <c r="D40">
        <v>146223.57842157839</v>
      </c>
      <c r="E40">
        <v>26563901.300601199</v>
      </c>
      <c r="F40">
        <v>11146508.846536551</v>
      </c>
    </row>
    <row r="41" spans="1:6" x14ac:dyDescent="0.25">
      <c r="A41" t="s">
        <v>9</v>
      </c>
      <c r="C41">
        <v>7532644.414382712</v>
      </c>
      <c r="D41">
        <v>149438.4615384615</v>
      </c>
      <c r="E41">
        <v>28541141.13627255</v>
      </c>
      <c r="F41">
        <v>11541563.49667299</v>
      </c>
    </row>
    <row r="42" spans="1:6" x14ac:dyDescent="0.25">
      <c r="A42" t="s">
        <v>10</v>
      </c>
      <c r="C42">
        <v>6953823.2409282858</v>
      </c>
      <c r="D42">
        <v>151998.16883116879</v>
      </c>
      <c r="E42">
        <v>25932637.993987981</v>
      </c>
      <c r="F42">
        <v>10419617.268529991</v>
      </c>
    </row>
    <row r="43" spans="1:6" ht="15" customHeight="1" x14ac:dyDescent="0.25">
      <c r="A43" s="1" t="s">
        <v>11</v>
      </c>
      <c r="C43">
        <v>7382584.7234022235</v>
      </c>
      <c r="D43">
        <v>147131.7912087912</v>
      </c>
      <c r="E43">
        <v>27401477.491983969</v>
      </c>
      <c r="F43">
        <v>11206358.45614529</v>
      </c>
    </row>
    <row r="44" spans="1:6" x14ac:dyDescent="0.25">
      <c r="A44" t="s">
        <v>12</v>
      </c>
      <c r="C44">
        <v>7615521.1842010692</v>
      </c>
      <c r="D44">
        <v>150473.4065934066</v>
      </c>
      <c r="E44">
        <v>29129412.455911819</v>
      </c>
      <c r="F44">
        <v>11665226.9280385</v>
      </c>
    </row>
    <row r="47" spans="1:6" ht="15" customHeight="1" x14ac:dyDescent="0.25">
      <c r="A47" s="4" t="s">
        <v>22</v>
      </c>
    </row>
    <row r="48" spans="1:6" x14ac:dyDescent="0.25">
      <c r="A48" t="s">
        <v>23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5</v>
      </c>
      <c r="B49">
        <v>128146.3516483516</v>
      </c>
      <c r="C49">
        <v>166003.62137862141</v>
      </c>
      <c r="D49">
        <v>1854410.528971029</v>
      </c>
      <c r="E49">
        <v>27903495.34869739</v>
      </c>
    </row>
    <row r="50" spans="1:9" x14ac:dyDescent="0.25">
      <c r="A50" t="s">
        <v>6</v>
      </c>
      <c r="B50">
        <v>128909.7922077922</v>
      </c>
      <c r="C50">
        <v>143001.03796203801</v>
      </c>
      <c r="D50">
        <v>1638629.563936064</v>
      </c>
      <c r="E50">
        <v>19852292.513026051</v>
      </c>
    </row>
    <row r="51" spans="1:9" ht="15" customHeight="1" x14ac:dyDescent="0.25">
      <c r="A51" s="1" t="s">
        <v>7</v>
      </c>
      <c r="B51">
        <v>148043.08141858139</v>
      </c>
      <c r="C51">
        <v>197269.43256743261</v>
      </c>
      <c r="D51">
        <v>2164271.573426574</v>
      </c>
      <c r="E51">
        <v>27247155.998496991</v>
      </c>
    </row>
    <row r="52" spans="1:9" x14ac:dyDescent="0.25">
      <c r="A52" t="s">
        <v>8</v>
      </c>
      <c r="B52">
        <v>154204.4450549451</v>
      </c>
      <c r="C52">
        <v>192312.6338661339</v>
      </c>
      <c r="D52">
        <v>2307336.8086913088</v>
      </c>
      <c r="E52">
        <v>26546128.883767541</v>
      </c>
    </row>
    <row r="53" spans="1:9" x14ac:dyDescent="0.25">
      <c r="A53" t="s">
        <v>9</v>
      </c>
      <c r="B53">
        <v>152824.6988011988</v>
      </c>
      <c r="C53">
        <v>247170.09890109891</v>
      </c>
      <c r="D53">
        <v>2284755.6303696311</v>
      </c>
      <c r="E53">
        <v>27445827.229458921</v>
      </c>
    </row>
    <row r="54" spans="1:9" x14ac:dyDescent="0.25">
      <c r="A54" t="s">
        <v>10</v>
      </c>
      <c r="B54">
        <v>154978.32417582421</v>
      </c>
      <c r="C54">
        <v>220854.79970029971</v>
      </c>
      <c r="D54">
        <v>2537610.9475524481</v>
      </c>
      <c r="E54">
        <v>24901848.892284568</v>
      </c>
    </row>
    <row r="55" spans="1:9" x14ac:dyDescent="0.25">
      <c r="A55" t="s">
        <v>11</v>
      </c>
      <c r="B55">
        <v>151170.34015984021</v>
      </c>
      <c r="C55">
        <v>259181.11588411589</v>
      </c>
      <c r="D55">
        <v>2399980.1033966029</v>
      </c>
      <c r="E55">
        <v>26720007.334168341</v>
      </c>
    </row>
    <row r="56" spans="1:9" x14ac:dyDescent="0.25">
      <c r="A56" t="s">
        <v>12</v>
      </c>
      <c r="B56">
        <v>153879.62037962041</v>
      </c>
      <c r="C56">
        <v>232892.06243756239</v>
      </c>
      <c r="D56">
        <v>2349624.3736263742</v>
      </c>
      <c r="E56">
        <v>27725688.68036072</v>
      </c>
    </row>
    <row r="59" spans="1:9" ht="15" customHeight="1" x14ac:dyDescent="0.25">
      <c r="A59" s="4" t="s">
        <v>24</v>
      </c>
    </row>
    <row r="60" spans="1:9" x14ac:dyDescent="0.25">
      <c r="A60" t="s">
        <v>23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5</v>
      </c>
      <c r="B61">
        <v>131171.57842157839</v>
      </c>
      <c r="C61">
        <v>125121.12487512489</v>
      </c>
      <c r="D61">
        <v>167493.6103896104</v>
      </c>
      <c r="E61">
        <v>164513.63236763241</v>
      </c>
      <c r="F61">
        <v>1686347.1068931071</v>
      </c>
      <c r="G61">
        <v>2022473.9510489509</v>
      </c>
      <c r="H61">
        <v>28209731.796593189</v>
      </c>
      <c r="I61">
        <v>27597258.900801599</v>
      </c>
    </row>
    <row r="62" spans="1:9" x14ac:dyDescent="0.25">
      <c r="A62" t="s">
        <v>6</v>
      </c>
      <c r="B62">
        <v>127479.3416583417</v>
      </c>
      <c r="C62">
        <v>130340.2427572428</v>
      </c>
      <c r="D62">
        <v>141695.23376623381</v>
      </c>
      <c r="E62">
        <v>144306.84215784221</v>
      </c>
      <c r="F62">
        <v>1677365.8601398601</v>
      </c>
      <c r="G62">
        <v>1599893.267732268</v>
      </c>
      <c r="H62">
        <v>18684487.716432869</v>
      </c>
      <c r="I62">
        <v>21020097.30961924</v>
      </c>
    </row>
    <row r="63" spans="1:9" x14ac:dyDescent="0.25">
      <c r="A63" t="s">
        <v>7</v>
      </c>
      <c r="B63">
        <v>148044.2677322677</v>
      </c>
      <c r="C63">
        <v>148041.89510489511</v>
      </c>
      <c r="D63">
        <v>197267.89010989011</v>
      </c>
      <c r="E63">
        <v>197270.97502497499</v>
      </c>
      <c r="F63">
        <v>2164271.8231768231</v>
      </c>
      <c r="G63">
        <v>2164271.323676324</v>
      </c>
      <c r="H63">
        <v>27247156.614228461</v>
      </c>
      <c r="I63">
        <v>27247155.382765532</v>
      </c>
    </row>
    <row r="64" spans="1:9" x14ac:dyDescent="0.25">
      <c r="A64" t="s">
        <v>8</v>
      </c>
      <c r="B64">
        <v>146223.57842157839</v>
      </c>
      <c r="C64">
        <v>162185.31168831169</v>
      </c>
      <c r="D64">
        <v>208866.5844155844</v>
      </c>
      <c r="E64">
        <v>175758.68331668331</v>
      </c>
      <c r="F64">
        <v>2544418.4765234771</v>
      </c>
      <c r="G64">
        <v>2070255.140859141</v>
      </c>
      <c r="H64">
        <v>26563901.300601199</v>
      </c>
      <c r="I64">
        <v>26528356.466933869</v>
      </c>
    </row>
    <row r="65" spans="1:9" x14ac:dyDescent="0.25">
      <c r="A65" t="s">
        <v>9</v>
      </c>
      <c r="B65">
        <v>149438.4615384615</v>
      </c>
      <c r="C65">
        <v>156210.9360639361</v>
      </c>
      <c r="D65">
        <v>185176.0569430569</v>
      </c>
      <c r="E65">
        <v>309164.14085914078</v>
      </c>
      <c r="F65">
        <v>2174651.3316683322</v>
      </c>
      <c r="G65">
        <v>2394859.9290709291</v>
      </c>
      <c r="H65">
        <v>26350513.322645292</v>
      </c>
      <c r="I65">
        <v>28541141.13627255</v>
      </c>
    </row>
    <row r="66" spans="1:9" x14ac:dyDescent="0.25">
      <c r="A66" t="s">
        <v>10</v>
      </c>
      <c r="B66">
        <v>151998.16883116879</v>
      </c>
      <c r="C66">
        <v>157958.47952047951</v>
      </c>
      <c r="D66">
        <v>207749.62737262741</v>
      </c>
      <c r="E66">
        <v>233959.97202797199</v>
      </c>
      <c r="F66">
        <v>2398768.3856143858</v>
      </c>
      <c r="G66">
        <v>2676453.50949051</v>
      </c>
      <c r="H66">
        <v>23871059.790581159</v>
      </c>
      <c r="I66">
        <v>25932637.993987981</v>
      </c>
    </row>
    <row r="67" spans="1:9" x14ac:dyDescent="0.25">
      <c r="A67" t="s">
        <v>11</v>
      </c>
      <c r="B67">
        <v>147131.7912087912</v>
      </c>
      <c r="C67">
        <v>155208.88911088911</v>
      </c>
      <c r="D67">
        <v>288678.00099900097</v>
      </c>
      <c r="E67">
        <v>229684.23076923081</v>
      </c>
      <c r="F67">
        <v>2657072.448551449</v>
      </c>
      <c r="G67">
        <v>2142887.7582417582</v>
      </c>
      <c r="H67">
        <v>27401477.491983969</v>
      </c>
      <c r="I67">
        <v>26038537.17635271</v>
      </c>
    </row>
    <row r="68" spans="1:9" x14ac:dyDescent="0.25">
      <c r="A68" t="s">
        <v>12</v>
      </c>
      <c r="B68">
        <v>157285.83416583421</v>
      </c>
      <c r="C68">
        <v>150473.4065934066</v>
      </c>
      <c r="D68">
        <v>225682.4015984016</v>
      </c>
      <c r="E68">
        <v>240101.72327672329</v>
      </c>
      <c r="F68">
        <v>2458066.0229770229</v>
      </c>
      <c r="G68">
        <v>2241182.724275724</v>
      </c>
      <c r="H68">
        <v>29129412.455911819</v>
      </c>
      <c r="I68">
        <v>26321964.90480962</v>
      </c>
    </row>
    <row r="73" spans="1:9" x14ac:dyDescent="0.25">
      <c r="A73" t="s">
        <v>24</v>
      </c>
    </row>
    <row r="74" spans="1:9" x14ac:dyDescent="0.25">
      <c r="A74" t="s">
        <v>23</v>
      </c>
      <c r="B74" t="s">
        <v>25</v>
      </c>
      <c r="C74" t="s">
        <v>26</v>
      </c>
      <c r="D74" t="s">
        <v>27</v>
      </c>
      <c r="E74" t="s">
        <v>28</v>
      </c>
    </row>
    <row r="75" spans="1:9" x14ac:dyDescent="0.25">
      <c r="A75" t="s">
        <v>5</v>
      </c>
      <c r="B75">
        <v>131171.57842157839</v>
      </c>
      <c r="C75">
        <v>167493.6103896104</v>
      </c>
      <c r="D75">
        <v>1686347.1068931071</v>
      </c>
      <c r="E75">
        <v>28209731.796593189</v>
      </c>
    </row>
    <row r="76" spans="1:9" x14ac:dyDescent="0.25">
      <c r="A76" t="s">
        <v>5</v>
      </c>
      <c r="B76">
        <v>125121.12487512489</v>
      </c>
      <c r="C76">
        <v>164513.63236763241</v>
      </c>
      <c r="D76">
        <v>2022473.9510489509</v>
      </c>
      <c r="E76">
        <v>27597258.900801599</v>
      </c>
    </row>
    <row r="77" spans="1:9" x14ac:dyDescent="0.25">
      <c r="A77" t="s">
        <v>6</v>
      </c>
      <c r="B77">
        <v>127479.3416583417</v>
      </c>
      <c r="C77">
        <v>141695.23376623381</v>
      </c>
      <c r="D77">
        <v>1677365.8601398601</v>
      </c>
      <c r="E77">
        <v>18684487.716432869</v>
      </c>
    </row>
    <row r="78" spans="1:9" x14ac:dyDescent="0.25">
      <c r="A78" t="s">
        <v>6</v>
      </c>
      <c r="B78">
        <v>130340.2427572428</v>
      </c>
      <c r="C78">
        <v>144306.84215784221</v>
      </c>
      <c r="D78">
        <v>1599893.267732268</v>
      </c>
      <c r="E78">
        <v>21020097.30961924</v>
      </c>
    </row>
    <row r="79" spans="1:9" x14ac:dyDescent="0.25">
      <c r="A79" t="s">
        <v>7</v>
      </c>
      <c r="B79">
        <v>148044.2677322677</v>
      </c>
      <c r="C79">
        <v>197267.89010989011</v>
      </c>
      <c r="D79">
        <v>2164271.8231768231</v>
      </c>
      <c r="E79">
        <v>27247156.614228461</v>
      </c>
    </row>
    <row r="80" spans="1:9" x14ac:dyDescent="0.25">
      <c r="A80" t="s">
        <v>7</v>
      </c>
      <c r="B80">
        <v>148041.89510489511</v>
      </c>
      <c r="C80">
        <v>197270.97502497499</v>
      </c>
      <c r="D80">
        <v>2164271.323676324</v>
      </c>
      <c r="E80">
        <v>27247155.382765532</v>
      </c>
    </row>
    <row r="81" spans="1:5" x14ac:dyDescent="0.25">
      <c r="A81" t="s">
        <v>8</v>
      </c>
      <c r="B81">
        <v>146223.57842157839</v>
      </c>
      <c r="C81">
        <v>208866.5844155844</v>
      </c>
      <c r="D81">
        <v>2544418.4765234771</v>
      </c>
      <c r="E81">
        <v>26563901.300601199</v>
      </c>
    </row>
    <row r="82" spans="1:5" x14ac:dyDescent="0.25">
      <c r="A82" t="s">
        <v>8</v>
      </c>
      <c r="B82">
        <v>162185.31168831169</v>
      </c>
      <c r="C82">
        <v>175758.68331668331</v>
      </c>
      <c r="D82">
        <v>2070255.140859141</v>
      </c>
      <c r="E82">
        <v>26528356.466933869</v>
      </c>
    </row>
    <row r="83" spans="1:5" x14ac:dyDescent="0.25">
      <c r="A83" t="s">
        <v>9</v>
      </c>
      <c r="B83">
        <v>149438.4615384615</v>
      </c>
      <c r="C83">
        <v>185176.0569430569</v>
      </c>
      <c r="D83">
        <v>2174651.3316683322</v>
      </c>
      <c r="E83">
        <v>26350513.322645292</v>
      </c>
    </row>
    <row r="84" spans="1:5" x14ac:dyDescent="0.25">
      <c r="A84" t="s">
        <v>9</v>
      </c>
      <c r="B84">
        <v>156210.9360639361</v>
      </c>
      <c r="C84">
        <v>309164.14085914078</v>
      </c>
      <c r="D84">
        <v>2394859.9290709291</v>
      </c>
      <c r="E84">
        <v>28541141.13627255</v>
      </c>
    </row>
    <row r="85" spans="1:5" x14ac:dyDescent="0.25">
      <c r="A85" t="s">
        <v>10</v>
      </c>
      <c r="B85">
        <v>151998.16883116879</v>
      </c>
      <c r="C85">
        <v>207749.62737262741</v>
      </c>
      <c r="D85">
        <v>2398768.3856143858</v>
      </c>
      <c r="E85">
        <v>23871059.790581159</v>
      </c>
    </row>
    <row r="86" spans="1:5" x14ac:dyDescent="0.25">
      <c r="A86" t="s">
        <v>10</v>
      </c>
      <c r="B86">
        <v>157958.47952047951</v>
      </c>
      <c r="C86">
        <v>233959.97202797199</v>
      </c>
      <c r="D86">
        <v>2676453.50949051</v>
      </c>
      <c r="E86">
        <v>25932637.993987981</v>
      </c>
    </row>
    <row r="87" spans="1:5" x14ac:dyDescent="0.25">
      <c r="A87" t="s">
        <v>11</v>
      </c>
      <c r="B87">
        <v>147131.7912087912</v>
      </c>
      <c r="C87">
        <v>288678.00099900097</v>
      </c>
      <c r="D87">
        <v>2657072.448551449</v>
      </c>
      <c r="E87">
        <v>27401477.491983969</v>
      </c>
    </row>
    <row r="88" spans="1:5" x14ac:dyDescent="0.25">
      <c r="A88" t="s">
        <v>11</v>
      </c>
      <c r="B88">
        <v>155208.88911088911</v>
      </c>
      <c r="C88">
        <v>229684.23076923081</v>
      </c>
      <c r="D88">
        <v>2142887.7582417582</v>
      </c>
      <c r="E88">
        <v>26038537.17635271</v>
      </c>
    </row>
    <row r="89" spans="1:5" x14ac:dyDescent="0.25">
      <c r="A89" t="s">
        <v>12</v>
      </c>
      <c r="B89">
        <v>157285.83416583421</v>
      </c>
      <c r="C89">
        <v>225682.4015984016</v>
      </c>
      <c r="D89">
        <v>2458066.0229770229</v>
      </c>
      <c r="E89">
        <v>29129412.455911819</v>
      </c>
    </row>
    <row r="90" spans="1:5" x14ac:dyDescent="0.25">
      <c r="A90" t="s">
        <v>12</v>
      </c>
      <c r="B90">
        <v>150473.4065934066</v>
      </c>
      <c r="C90">
        <v>240101.72327672329</v>
      </c>
      <c r="D90">
        <v>2241182.724275724</v>
      </c>
      <c r="E90">
        <v>26321964.90480962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0"/>
  <sheetViews>
    <sheetView topLeftCell="A59" zoomScaleNormal="100" workbookViewId="0">
      <selection activeCell="A59" sqref="A1:XFD1048576"/>
    </sheetView>
  </sheetViews>
  <sheetFormatPr defaultColWidth="8.5703125" defaultRowHeight="15" x14ac:dyDescent="0.25"/>
  <cols>
    <col min="1" max="1" width="24" customWidth="1"/>
    <col min="2" max="6" width="20" customWidth="1"/>
    <col min="7" max="7" width="18" customWidth="1"/>
    <col min="8" max="9" width="19" customWidth="1"/>
    <col min="10" max="61" width="20" customWidth="1"/>
  </cols>
  <sheetData>
    <row r="1" spans="1:6" ht="15" customHeight="1" x14ac:dyDescent="0.2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 x14ac:dyDescent="0.25">
      <c r="A2" t="s">
        <v>5</v>
      </c>
      <c r="B2">
        <v>1</v>
      </c>
      <c r="C2">
        <v>381260624.16666669</v>
      </c>
      <c r="D2">
        <v>373990416.66666669</v>
      </c>
      <c r="E2">
        <v>388530831.66666681</v>
      </c>
      <c r="F2">
        <v>7270207.5000000298</v>
      </c>
    </row>
    <row r="3" spans="1:6" x14ac:dyDescent="0.25">
      <c r="A3" t="s">
        <v>5</v>
      </c>
      <c r="B3">
        <v>2</v>
      </c>
      <c r="C3">
        <v>708135084.62258053</v>
      </c>
      <c r="D3">
        <v>675755527.82851768</v>
      </c>
      <c r="E3">
        <v>740514641.41664326</v>
      </c>
      <c r="F3">
        <v>32379556.79406279</v>
      </c>
    </row>
    <row r="4" spans="1:6" x14ac:dyDescent="0.25">
      <c r="A4" t="s">
        <v>5</v>
      </c>
      <c r="B4">
        <v>3</v>
      </c>
      <c r="C4">
        <v>6121336521.642765</v>
      </c>
      <c r="D4">
        <v>4336230053.2855301</v>
      </c>
      <c r="E4">
        <v>7906442990</v>
      </c>
      <c r="F4">
        <v>1785106468.357235</v>
      </c>
    </row>
    <row r="5" spans="1:6" x14ac:dyDescent="0.25">
      <c r="A5" t="s">
        <v>5</v>
      </c>
      <c r="B5">
        <v>4</v>
      </c>
      <c r="C5">
        <v>63633494124.974289</v>
      </c>
      <c r="D5">
        <v>60099601985.737549</v>
      </c>
      <c r="E5">
        <v>67167386264.211029</v>
      </c>
      <c r="F5">
        <v>3533892139.2367401</v>
      </c>
    </row>
    <row r="6" spans="1:6" x14ac:dyDescent="0.25">
      <c r="A6" t="s">
        <v>6</v>
      </c>
      <c r="B6">
        <v>1</v>
      </c>
      <c r="C6">
        <v>379412144.16666669</v>
      </c>
      <c r="D6">
        <v>374679524.16666669</v>
      </c>
      <c r="E6">
        <v>384144764.16666669</v>
      </c>
      <c r="F6">
        <v>4732620</v>
      </c>
    </row>
    <row r="7" spans="1:6" x14ac:dyDescent="0.25">
      <c r="A7" t="s">
        <v>6</v>
      </c>
      <c r="B7">
        <v>2</v>
      </c>
      <c r="C7">
        <v>975786945.41666663</v>
      </c>
      <c r="D7">
        <v>959788246.66666675</v>
      </c>
      <c r="E7">
        <v>991785644.16666651</v>
      </c>
      <c r="F7">
        <v>15998698.749999881</v>
      </c>
    </row>
    <row r="8" spans="1:6" x14ac:dyDescent="0.25">
      <c r="A8" t="s">
        <v>6</v>
      </c>
      <c r="B8">
        <v>3</v>
      </c>
      <c r="C8">
        <v>7750613442.5</v>
      </c>
      <c r="D8">
        <v>7690273235</v>
      </c>
      <c r="E8">
        <v>7810953650</v>
      </c>
      <c r="F8">
        <v>60340207.5</v>
      </c>
    </row>
    <row r="9" spans="1:6" x14ac:dyDescent="0.25">
      <c r="A9" t="s">
        <v>6</v>
      </c>
      <c r="B9">
        <v>4</v>
      </c>
      <c r="C9">
        <v>118430608925</v>
      </c>
      <c r="D9">
        <v>107751720720</v>
      </c>
      <c r="E9">
        <v>129109497130</v>
      </c>
      <c r="F9">
        <v>10678888205</v>
      </c>
    </row>
    <row r="10" spans="1:6" x14ac:dyDescent="0.25">
      <c r="A10" t="s">
        <v>7</v>
      </c>
      <c r="B10">
        <v>1</v>
      </c>
      <c r="C10">
        <v>384944616.66666669</v>
      </c>
      <c r="D10">
        <v>384942336.66666669</v>
      </c>
      <c r="E10">
        <v>384946896.66666669</v>
      </c>
      <c r="F10">
        <v>2280</v>
      </c>
    </row>
    <row r="11" spans="1:6" x14ac:dyDescent="0.25">
      <c r="A11" t="s">
        <v>7</v>
      </c>
      <c r="B11">
        <v>2</v>
      </c>
      <c r="C11">
        <v>1169581360</v>
      </c>
      <c r="D11">
        <v>1169580880</v>
      </c>
      <c r="E11">
        <v>1169581840</v>
      </c>
      <c r="F11">
        <v>480</v>
      </c>
    </row>
    <row r="12" spans="1:6" ht="15" customHeight="1" x14ac:dyDescent="0.25">
      <c r="A12" s="1" t="s">
        <v>7</v>
      </c>
      <c r="B12">
        <v>3</v>
      </c>
      <c r="C12">
        <v>8047340825</v>
      </c>
      <c r="D12">
        <v>8047339505</v>
      </c>
      <c r="E12">
        <v>8047342145</v>
      </c>
      <c r="F12">
        <v>1320</v>
      </c>
    </row>
    <row r="13" spans="1:6" x14ac:dyDescent="0.25">
      <c r="A13" t="s">
        <v>7</v>
      </c>
      <c r="B13">
        <v>4</v>
      </c>
      <c r="C13">
        <v>132961529865</v>
      </c>
      <c r="D13">
        <v>132961526625</v>
      </c>
      <c r="E13">
        <v>132961533105</v>
      </c>
      <c r="F13">
        <v>3240</v>
      </c>
    </row>
    <row r="14" spans="1:6" x14ac:dyDescent="0.25">
      <c r="A14" t="s">
        <v>8</v>
      </c>
      <c r="B14">
        <v>1</v>
      </c>
      <c r="C14">
        <v>422297101.25000012</v>
      </c>
      <c r="D14">
        <v>402212315.83333337</v>
      </c>
      <c r="E14">
        <v>442381886.66666669</v>
      </c>
      <c r="F14">
        <v>20084785.416666631</v>
      </c>
    </row>
    <row r="15" spans="1:6" x14ac:dyDescent="0.25">
      <c r="A15" t="s">
        <v>8</v>
      </c>
      <c r="B15">
        <v>2</v>
      </c>
      <c r="C15">
        <v>1057223536.666667</v>
      </c>
      <c r="D15">
        <v>1022859712.5</v>
      </c>
      <c r="E15">
        <v>1091587360.833333</v>
      </c>
      <c r="F15">
        <v>34363824.166666754</v>
      </c>
    </row>
    <row r="16" spans="1:6" x14ac:dyDescent="0.25">
      <c r="A16" t="s">
        <v>8</v>
      </c>
      <c r="B16">
        <v>3</v>
      </c>
      <c r="C16">
        <v>9022916250</v>
      </c>
      <c r="D16">
        <v>8722539675</v>
      </c>
      <c r="E16">
        <v>9323292825</v>
      </c>
      <c r="F16">
        <v>300376575</v>
      </c>
    </row>
    <row r="17" spans="1:6" x14ac:dyDescent="0.25">
      <c r="A17" t="s">
        <v>8</v>
      </c>
      <c r="B17">
        <v>4</v>
      </c>
      <c r="C17">
        <v>146641329022.5</v>
      </c>
      <c r="D17">
        <v>146273988365</v>
      </c>
      <c r="E17">
        <v>147008669680</v>
      </c>
      <c r="F17">
        <v>367340657.5</v>
      </c>
    </row>
    <row r="18" spans="1:6" x14ac:dyDescent="0.25">
      <c r="A18" t="s">
        <v>9</v>
      </c>
      <c r="B18">
        <v>1</v>
      </c>
      <c r="C18">
        <v>403241896.25</v>
      </c>
      <c r="D18">
        <v>402376268.33333331</v>
      </c>
      <c r="E18">
        <v>404107524.16666669</v>
      </c>
      <c r="F18">
        <v>865627.91666671634</v>
      </c>
    </row>
    <row r="19" spans="1:6" x14ac:dyDescent="0.25">
      <c r="A19" t="s">
        <v>9</v>
      </c>
      <c r="B19">
        <v>2</v>
      </c>
      <c r="C19">
        <v>1029787821.25</v>
      </c>
      <c r="D19">
        <v>1012051400.833333</v>
      </c>
      <c r="E19">
        <v>1047524241.666666</v>
      </c>
      <c r="F19">
        <v>17736420.416666511</v>
      </c>
    </row>
    <row r="20" spans="1:6" ht="15" customHeight="1" x14ac:dyDescent="0.25">
      <c r="A20" s="1" t="s">
        <v>9</v>
      </c>
      <c r="B20">
        <v>3</v>
      </c>
      <c r="C20">
        <v>8380478285</v>
      </c>
      <c r="D20">
        <v>8312267215</v>
      </c>
      <c r="E20">
        <v>8448689355</v>
      </c>
      <c r="F20">
        <v>68211070</v>
      </c>
    </row>
    <row r="21" spans="1:6" x14ac:dyDescent="0.25">
      <c r="A21" t="s">
        <v>9</v>
      </c>
      <c r="B21">
        <v>4</v>
      </c>
      <c r="C21">
        <v>141989426362.5</v>
      </c>
      <c r="D21">
        <v>138398349665</v>
      </c>
      <c r="E21">
        <v>145580503060</v>
      </c>
      <c r="F21">
        <v>3591076697.5</v>
      </c>
    </row>
    <row r="22" spans="1:6" x14ac:dyDescent="0.25">
      <c r="A22" t="s">
        <v>10</v>
      </c>
      <c r="B22">
        <v>1</v>
      </c>
      <c r="C22">
        <v>419518321.25</v>
      </c>
      <c r="D22">
        <v>410927962.49999988</v>
      </c>
      <c r="E22">
        <v>428108680.00000012</v>
      </c>
      <c r="F22">
        <v>8590358.7500000596</v>
      </c>
    </row>
    <row r="23" spans="1:6" ht="15" customHeight="1" x14ac:dyDescent="0.25">
      <c r="A23" s="1" t="s">
        <v>10</v>
      </c>
      <c r="B23">
        <v>2</v>
      </c>
      <c r="C23">
        <v>1082483668.75</v>
      </c>
      <c r="D23">
        <v>1038465022.5</v>
      </c>
      <c r="E23">
        <v>1126502315</v>
      </c>
      <c r="F23">
        <v>44018646.249999881</v>
      </c>
    </row>
    <row r="24" spans="1:6" x14ac:dyDescent="0.25">
      <c r="A24" t="s">
        <v>10</v>
      </c>
      <c r="B24">
        <v>3</v>
      </c>
      <c r="C24">
        <v>8895985775</v>
      </c>
      <c r="D24">
        <v>8613349090</v>
      </c>
      <c r="E24">
        <v>9178622460</v>
      </c>
      <c r="F24">
        <v>282636685</v>
      </c>
    </row>
    <row r="25" spans="1:6" x14ac:dyDescent="0.25">
      <c r="A25" t="s">
        <v>10</v>
      </c>
      <c r="B25">
        <v>4</v>
      </c>
      <c r="C25">
        <v>141054513705</v>
      </c>
      <c r="D25">
        <v>124738571530</v>
      </c>
      <c r="E25">
        <v>157370455880</v>
      </c>
      <c r="F25">
        <v>16315942175</v>
      </c>
    </row>
    <row r="26" spans="1:6" x14ac:dyDescent="0.25">
      <c r="A26" t="s">
        <v>11</v>
      </c>
      <c r="B26">
        <v>1</v>
      </c>
      <c r="C26">
        <v>411438591.25</v>
      </c>
      <c r="D26">
        <v>410012360.83333331</v>
      </c>
      <c r="E26">
        <v>412864821.66666669</v>
      </c>
      <c r="F26">
        <v>1426230.4166667161</v>
      </c>
    </row>
    <row r="27" spans="1:6" x14ac:dyDescent="0.25">
      <c r="A27" t="s">
        <v>11</v>
      </c>
      <c r="B27">
        <v>2</v>
      </c>
      <c r="C27">
        <v>1076096015.833333</v>
      </c>
      <c r="D27">
        <v>1074618815</v>
      </c>
      <c r="E27">
        <v>1077573216.666667</v>
      </c>
      <c r="F27">
        <v>1477200.8333333731</v>
      </c>
    </row>
    <row r="28" spans="1:6" ht="15" customHeight="1" x14ac:dyDescent="0.25">
      <c r="A28" s="1" t="s">
        <v>11</v>
      </c>
      <c r="B28">
        <v>3</v>
      </c>
      <c r="C28">
        <v>8686790442.5</v>
      </c>
      <c r="D28">
        <v>8659835720</v>
      </c>
      <c r="E28">
        <v>8713745165</v>
      </c>
      <c r="F28">
        <v>26954722.5</v>
      </c>
    </row>
    <row r="29" spans="1:6" x14ac:dyDescent="0.25">
      <c r="A29" t="s">
        <v>11</v>
      </c>
      <c r="B29">
        <v>4</v>
      </c>
      <c r="C29">
        <v>144334273787.5</v>
      </c>
      <c r="D29">
        <v>143991772070</v>
      </c>
      <c r="E29">
        <v>144676775505</v>
      </c>
      <c r="F29">
        <v>342501717.5</v>
      </c>
    </row>
    <row r="30" spans="1:6" x14ac:dyDescent="0.25">
      <c r="A30" t="s">
        <v>12</v>
      </c>
      <c r="B30">
        <v>1</v>
      </c>
      <c r="C30">
        <v>407008423.75</v>
      </c>
      <c r="D30">
        <v>401207095.83333331</v>
      </c>
      <c r="E30">
        <v>412809751.66666669</v>
      </c>
      <c r="F30">
        <v>5801327.9166667461</v>
      </c>
    </row>
    <row r="31" spans="1:6" ht="15" customHeight="1" x14ac:dyDescent="0.25">
      <c r="A31" s="1" t="s">
        <v>12</v>
      </c>
      <c r="B31">
        <v>2</v>
      </c>
      <c r="C31">
        <v>989750582.91666651</v>
      </c>
      <c r="D31">
        <v>985230969.99999976</v>
      </c>
      <c r="E31">
        <v>994270195.83333325</v>
      </c>
      <c r="F31">
        <v>4519612.9166667461</v>
      </c>
    </row>
    <row r="32" spans="1:6" x14ac:dyDescent="0.25">
      <c r="A32" t="s">
        <v>12</v>
      </c>
      <c r="B32">
        <v>3</v>
      </c>
      <c r="C32">
        <v>8613586707.5</v>
      </c>
      <c r="D32">
        <v>8322855015</v>
      </c>
      <c r="E32">
        <v>8904318400</v>
      </c>
      <c r="F32">
        <v>290731692.5</v>
      </c>
    </row>
    <row r="33" spans="1:6" x14ac:dyDescent="0.25">
      <c r="A33" t="s">
        <v>12</v>
      </c>
      <c r="B33">
        <v>4</v>
      </c>
      <c r="C33">
        <v>142936256902.5</v>
      </c>
      <c r="D33">
        <v>139799845660</v>
      </c>
      <c r="E33">
        <v>146072668145</v>
      </c>
      <c r="F33">
        <v>3136411242.5</v>
      </c>
    </row>
    <row r="35" spans="1:6" ht="15" customHeight="1" x14ac:dyDescent="0.25">
      <c r="A35" s="1"/>
    </row>
    <row r="36" spans="1:6" ht="15" customHeight="1" x14ac:dyDescent="0.25">
      <c r="A36" s="4" t="s">
        <v>21</v>
      </c>
    </row>
    <row r="37" spans="1:6" x14ac:dyDescent="0.25">
      <c r="A37" t="s">
        <v>5</v>
      </c>
      <c r="C37">
        <v>17711056588.85157</v>
      </c>
      <c r="D37">
        <v>373990416.66666669</v>
      </c>
      <c r="E37">
        <v>67167386264.211029</v>
      </c>
      <c r="F37">
        <v>26684682630.671669</v>
      </c>
    </row>
    <row r="38" spans="1:6" x14ac:dyDescent="0.25">
      <c r="A38" t="s">
        <v>6</v>
      </c>
      <c r="C38">
        <v>31884105364.270828</v>
      </c>
      <c r="D38">
        <v>374679524.16666669</v>
      </c>
      <c r="E38">
        <v>129109497130</v>
      </c>
      <c r="F38">
        <v>50335462464.079987</v>
      </c>
    </row>
    <row r="39" spans="1:6" ht="15" customHeight="1" x14ac:dyDescent="0.25">
      <c r="A39" s="1" t="s">
        <v>7</v>
      </c>
      <c r="C39">
        <v>35640849166.666656</v>
      </c>
      <c r="D39">
        <v>384942336.66666669</v>
      </c>
      <c r="E39">
        <v>132961533105</v>
      </c>
      <c r="F39">
        <v>56267138953.447433</v>
      </c>
    </row>
    <row r="40" spans="1:6" x14ac:dyDescent="0.25">
      <c r="A40" t="s">
        <v>8</v>
      </c>
      <c r="C40">
        <v>39285941477.604156</v>
      </c>
      <c r="D40">
        <v>402212315.83333337</v>
      </c>
      <c r="E40">
        <v>147008669680</v>
      </c>
      <c r="F40">
        <v>62074701791.424942</v>
      </c>
    </row>
    <row r="41" spans="1:6" x14ac:dyDescent="0.25">
      <c r="A41" t="s">
        <v>9</v>
      </c>
      <c r="C41">
        <v>37950733591.25</v>
      </c>
      <c r="D41">
        <v>402376268.33333331</v>
      </c>
      <c r="E41">
        <v>145580503060</v>
      </c>
      <c r="F41">
        <v>60175411842.155357</v>
      </c>
    </row>
    <row r="42" spans="1:6" x14ac:dyDescent="0.25">
      <c r="A42" t="s">
        <v>10</v>
      </c>
      <c r="C42">
        <v>37863125367.5</v>
      </c>
      <c r="D42">
        <v>410927962.49999988</v>
      </c>
      <c r="E42">
        <v>157370455880</v>
      </c>
      <c r="F42">
        <v>60226009704.252892</v>
      </c>
    </row>
    <row r="43" spans="1:6" ht="15" customHeight="1" x14ac:dyDescent="0.25">
      <c r="A43" s="1" t="s">
        <v>11</v>
      </c>
      <c r="C43">
        <v>38627149709.270844</v>
      </c>
      <c r="D43">
        <v>410012360.83333331</v>
      </c>
      <c r="E43">
        <v>144676775505</v>
      </c>
      <c r="F43">
        <v>61116817329.309418</v>
      </c>
    </row>
    <row r="44" spans="1:6" x14ac:dyDescent="0.25">
      <c r="A44" t="s">
        <v>12</v>
      </c>
      <c r="C44">
        <v>38236650654.166656</v>
      </c>
      <c r="D44">
        <v>401207095.83333331</v>
      </c>
      <c r="E44">
        <v>146072668145</v>
      </c>
      <c r="F44">
        <v>60555488018.892151</v>
      </c>
    </row>
    <row r="47" spans="1:6" ht="15" customHeight="1" x14ac:dyDescent="0.25">
      <c r="A47" s="4" t="s">
        <v>22</v>
      </c>
    </row>
    <row r="48" spans="1:6" x14ac:dyDescent="0.25">
      <c r="A48" t="s">
        <v>23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5</v>
      </c>
      <c r="B49">
        <v>381260624.16666669</v>
      </c>
      <c r="C49">
        <v>708135084.62258053</v>
      </c>
      <c r="D49">
        <v>6121336521.642765</v>
      </c>
      <c r="E49">
        <v>63633494124.974289</v>
      </c>
    </row>
    <row r="50" spans="1:9" x14ac:dyDescent="0.25">
      <c r="A50" t="s">
        <v>6</v>
      </c>
      <c r="B50">
        <v>379412144.16666669</v>
      </c>
      <c r="C50">
        <v>975786945.41666663</v>
      </c>
      <c r="D50">
        <v>7750613442.5</v>
      </c>
      <c r="E50">
        <v>118430608925</v>
      </c>
    </row>
    <row r="51" spans="1:9" ht="15" customHeight="1" x14ac:dyDescent="0.25">
      <c r="A51" s="1" t="s">
        <v>7</v>
      </c>
      <c r="B51">
        <v>384944616.66666669</v>
      </c>
      <c r="C51">
        <v>1169581360</v>
      </c>
      <c r="D51">
        <v>8047340825</v>
      </c>
      <c r="E51">
        <v>132961529865</v>
      </c>
    </row>
    <row r="52" spans="1:9" x14ac:dyDescent="0.25">
      <c r="A52" t="s">
        <v>8</v>
      </c>
      <c r="B52">
        <v>422297101.25000012</v>
      </c>
      <c r="C52">
        <v>1057223536.666667</v>
      </c>
      <c r="D52">
        <v>9022916250</v>
      </c>
      <c r="E52">
        <v>146641329022.5</v>
      </c>
    </row>
    <row r="53" spans="1:9" x14ac:dyDescent="0.25">
      <c r="A53" t="s">
        <v>9</v>
      </c>
      <c r="B53">
        <v>403241896.25</v>
      </c>
      <c r="C53">
        <v>1029787821.25</v>
      </c>
      <c r="D53">
        <v>8380478285</v>
      </c>
      <c r="E53">
        <v>141989426362.5</v>
      </c>
    </row>
    <row r="54" spans="1:9" x14ac:dyDescent="0.25">
      <c r="A54" t="s">
        <v>10</v>
      </c>
      <c r="B54">
        <v>419518321.25</v>
      </c>
      <c r="C54">
        <v>1082483668.75</v>
      </c>
      <c r="D54">
        <v>8895985775</v>
      </c>
      <c r="E54">
        <v>141054513705</v>
      </c>
    </row>
    <row r="55" spans="1:9" x14ac:dyDescent="0.25">
      <c r="A55" t="s">
        <v>11</v>
      </c>
      <c r="B55">
        <v>411438591.25</v>
      </c>
      <c r="C55">
        <v>1076096015.833333</v>
      </c>
      <c r="D55">
        <v>8686790442.5</v>
      </c>
      <c r="E55">
        <v>144334273787.5</v>
      </c>
    </row>
    <row r="56" spans="1:9" x14ac:dyDescent="0.25">
      <c r="A56" t="s">
        <v>12</v>
      </c>
      <c r="B56">
        <v>407008423.75</v>
      </c>
      <c r="C56">
        <v>989750582.91666651</v>
      </c>
      <c r="D56">
        <v>8613586707.5</v>
      </c>
      <c r="E56">
        <v>142936256902.5</v>
      </c>
    </row>
    <row r="59" spans="1:9" ht="15" customHeight="1" x14ac:dyDescent="0.25">
      <c r="A59" s="4" t="s">
        <v>24</v>
      </c>
    </row>
    <row r="60" spans="1:9" x14ac:dyDescent="0.25">
      <c r="A60" t="s">
        <v>23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5</v>
      </c>
      <c r="B61">
        <v>373990416.66666669</v>
      </c>
      <c r="C61">
        <v>388530831.66666681</v>
      </c>
      <c r="D61">
        <v>675755527.82851768</v>
      </c>
      <c r="E61">
        <v>740514641.41664326</v>
      </c>
      <c r="F61">
        <v>7906442990</v>
      </c>
      <c r="G61">
        <v>4336230053.2855301</v>
      </c>
      <c r="H61">
        <v>67167386264.211029</v>
      </c>
      <c r="I61">
        <v>60099601985.737549</v>
      </c>
    </row>
    <row r="62" spans="1:9" x14ac:dyDescent="0.25">
      <c r="A62" t="s">
        <v>6</v>
      </c>
      <c r="B62">
        <v>374679524.16666669</v>
      </c>
      <c r="C62">
        <v>384144764.16666669</v>
      </c>
      <c r="D62">
        <v>991785644.16666651</v>
      </c>
      <c r="E62">
        <v>959788246.66666675</v>
      </c>
      <c r="F62">
        <v>7690273235</v>
      </c>
      <c r="G62">
        <v>7810953650</v>
      </c>
      <c r="H62">
        <v>107751720720</v>
      </c>
      <c r="I62">
        <v>129109497130</v>
      </c>
    </row>
    <row r="63" spans="1:9" x14ac:dyDescent="0.25">
      <c r="A63" t="s">
        <v>7</v>
      </c>
      <c r="B63">
        <v>384942336.66666669</v>
      </c>
      <c r="C63">
        <v>384946896.66666669</v>
      </c>
      <c r="D63">
        <v>1169580880</v>
      </c>
      <c r="E63">
        <v>1169581840</v>
      </c>
      <c r="F63">
        <v>8047339505</v>
      </c>
      <c r="G63">
        <v>8047342145</v>
      </c>
      <c r="H63">
        <v>132961533105</v>
      </c>
      <c r="I63">
        <v>132961526625</v>
      </c>
    </row>
    <row r="64" spans="1:9" x14ac:dyDescent="0.25">
      <c r="A64" t="s">
        <v>8</v>
      </c>
      <c r="B64">
        <v>402212315.83333337</v>
      </c>
      <c r="C64">
        <v>442381886.66666669</v>
      </c>
      <c r="D64">
        <v>1022859712.5</v>
      </c>
      <c r="E64">
        <v>1091587360.833333</v>
      </c>
      <c r="F64">
        <v>9323292825</v>
      </c>
      <c r="G64">
        <v>8722539675</v>
      </c>
      <c r="H64">
        <v>146273988365</v>
      </c>
      <c r="I64">
        <v>147008669680</v>
      </c>
    </row>
    <row r="65" spans="1:9" x14ac:dyDescent="0.25">
      <c r="A65" t="s">
        <v>9</v>
      </c>
      <c r="B65">
        <v>404107524.16666669</v>
      </c>
      <c r="C65">
        <v>402376268.33333331</v>
      </c>
      <c r="D65">
        <v>1012051400.833333</v>
      </c>
      <c r="E65">
        <v>1047524241.666666</v>
      </c>
      <c r="F65">
        <v>8312267215</v>
      </c>
      <c r="G65">
        <v>8448689355</v>
      </c>
      <c r="H65">
        <v>138398349665</v>
      </c>
      <c r="I65">
        <v>145580503060</v>
      </c>
    </row>
    <row r="66" spans="1:9" x14ac:dyDescent="0.25">
      <c r="A66" t="s">
        <v>10</v>
      </c>
      <c r="B66">
        <v>410927962.49999988</v>
      </c>
      <c r="C66">
        <v>428108680.00000012</v>
      </c>
      <c r="D66">
        <v>1126502315</v>
      </c>
      <c r="E66">
        <v>1038465022.5</v>
      </c>
      <c r="F66">
        <v>8613349090</v>
      </c>
      <c r="G66">
        <v>9178622460</v>
      </c>
      <c r="H66">
        <v>124738571530</v>
      </c>
      <c r="I66">
        <v>157370455880</v>
      </c>
    </row>
    <row r="67" spans="1:9" x14ac:dyDescent="0.25">
      <c r="A67" t="s">
        <v>11</v>
      </c>
      <c r="B67">
        <v>410012360.83333331</v>
      </c>
      <c r="C67">
        <v>412864821.66666669</v>
      </c>
      <c r="D67">
        <v>1074618815</v>
      </c>
      <c r="E67">
        <v>1077573216.666667</v>
      </c>
      <c r="F67">
        <v>8659835720</v>
      </c>
      <c r="G67">
        <v>8713745165</v>
      </c>
      <c r="H67">
        <v>144676775505</v>
      </c>
      <c r="I67">
        <v>143991772070</v>
      </c>
    </row>
    <row r="68" spans="1:9" x14ac:dyDescent="0.25">
      <c r="A68" t="s">
        <v>12</v>
      </c>
      <c r="B68">
        <v>401207095.83333331</v>
      </c>
      <c r="C68">
        <v>412809751.66666669</v>
      </c>
      <c r="D68">
        <v>985230969.99999976</v>
      </c>
      <c r="E68">
        <v>994270195.83333325</v>
      </c>
      <c r="F68">
        <v>8904318400</v>
      </c>
      <c r="G68">
        <v>8322855015</v>
      </c>
      <c r="H68">
        <v>139799845660</v>
      </c>
      <c r="I68">
        <v>146072668145</v>
      </c>
    </row>
    <row r="73" spans="1:9" x14ac:dyDescent="0.25">
      <c r="A73" t="s">
        <v>24</v>
      </c>
    </row>
    <row r="74" spans="1:9" x14ac:dyDescent="0.25">
      <c r="A74" t="s">
        <v>23</v>
      </c>
      <c r="B74" t="s">
        <v>25</v>
      </c>
      <c r="C74" t="s">
        <v>26</v>
      </c>
      <c r="D74" t="s">
        <v>27</v>
      </c>
      <c r="E74" t="s">
        <v>28</v>
      </c>
    </row>
    <row r="75" spans="1:9" x14ac:dyDescent="0.25">
      <c r="A75" t="s">
        <v>5</v>
      </c>
      <c r="B75">
        <v>373990416.66666669</v>
      </c>
      <c r="C75">
        <v>675755527.82851768</v>
      </c>
      <c r="D75">
        <v>7906442990</v>
      </c>
      <c r="E75">
        <v>67167386264.211029</v>
      </c>
    </row>
    <row r="76" spans="1:9" x14ac:dyDescent="0.25">
      <c r="A76" t="s">
        <v>5</v>
      </c>
      <c r="B76">
        <v>388530831.66666681</v>
      </c>
      <c r="C76">
        <v>740514641.41664326</v>
      </c>
      <c r="D76">
        <v>4336230053.2855301</v>
      </c>
      <c r="E76">
        <v>60099601985.737549</v>
      </c>
    </row>
    <row r="77" spans="1:9" x14ac:dyDescent="0.25">
      <c r="A77" t="s">
        <v>6</v>
      </c>
      <c r="B77">
        <v>374679524.16666669</v>
      </c>
      <c r="C77">
        <v>991785644.16666651</v>
      </c>
      <c r="D77">
        <v>7690273235</v>
      </c>
      <c r="E77">
        <v>107751720720</v>
      </c>
    </row>
    <row r="78" spans="1:9" x14ac:dyDescent="0.25">
      <c r="A78" t="s">
        <v>6</v>
      </c>
      <c r="B78">
        <v>384144764.16666669</v>
      </c>
      <c r="C78">
        <v>959788246.66666675</v>
      </c>
      <c r="D78">
        <v>7810953650</v>
      </c>
      <c r="E78">
        <v>129109497130</v>
      </c>
    </row>
    <row r="79" spans="1:9" x14ac:dyDescent="0.25">
      <c r="A79" t="s">
        <v>7</v>
      </c>
      <c r="B79">
        <v>384942336.66666669</v>
      </c>
      <c r="C79">
        <v>1169580880</v>
      </c>
      <c r="D79">
        <v>8047339505</v>
      </c>
      <c r="E79">
        <v>132961533105</v>
      </c>
    </row>
    <row r="80" spans="1:9" x14ac:dyDescent="0.25">
      <c r="A80" t="s">
        <v>7</v>
      </c>
      <c r="B80">
        <v>384946896.66666669</v>
      </c>
      <c r="C80">
        <v>1169581840</v>
      </c>
      <c r="D80">
        <v>8047342145</v>
      </c>
      <c r="E80">
        <v>132961526625</v>
      </c>
    </row>
    <row r="81" spans="1:5" x14ac:dyDescent="0.25">
      <c r="A81" t="s">
        <v>8</v>
      </c>
      <c r="B81">
        <v>402212315.83333337</v>
      </c>
      <c r="C81">
        <v>1022859712.5</v>
      </c>
      <c r="D81">
        <v>9323292825</v>
      </c>
      <c r="E81">
        <v>146273988365</v>
      </c>
    </row>
    <row r="82" spans="1:5" x14ac:dyDescent="0.25">
      <c r="A82" t="s">
        <v>8</v>
      </c>
      <c r="B82">
        <v>442381886.66666669</v>
      </c>
      <c r="C82">
        <v>1091587360.833333</v>
      </c>
      <c r="D82">
        <v>8722539675</v>
      </c>
      <c r="E82">
        <v>147008669680</v>
      </c>
    </row>
    <row r="83" spans="1:5" x14ac:dyDescent="0.25">
      <c r="A83" t="s">
        <v>9</v>
      </c>
      <c r="B83">
        <v>404107524.16666669</v>
      </c>
      <c r="C83">
        <v>1012051400.833333</v>
      </c>
      <c r="D83">
        <v>8312267215</v>
      </c>
      <c r="E83">
        <v>138398349665</v>
      </c>
    </row>
    <row r="84" spans="1:5" x14ac:dyDescent="0.25">
      <c r="A84" t="s">
        <v>9</v>
      </c>
      <c r="B84">
        <v>402376268.33333331</v>
      </c>
      <c r="C84">
        <v>1047524241.666666</v>
      </c>
      <c r="D84">
        <v>8448689355</v>
      </c>
      <c r="E84">
        <v>145580503060</v>
      </c>
    </row>
    <row r="85" spans="1:5" x14ac:dyDescent="0.25">
      <c r="A85" t="s">
        <v>10</v>
      </c>
      <c r="B85">
        <v>410927962.49999988</v>
      </c>
      <c r="C85">
        <v>1126502315</v>
      </c>
      <c r="D85">
        <v>8613349090</v>
      </c>
      <c r="E85">
        <v>124738571530</v>
      </c>
    </row>
    <row r="86" spans="1:5" x14ac:dyDescent="0.25">
      <c r="A86" t="s">
        <v>10</v>
      </c>
      <c r="B86">
        <v>428108680.00000012</v>
      </c>
      <c r="C86">
        <v>1038465022.5</v>
      </c>
      <c r="D86">
        <v>9178622460</v>
      </c>
      <c r="E86">
        <v>157370455880</v>
      </c>
    </row>
    <row r="87" spans="1:5" x14ac:dyDescent="0.25">
      <c r="A87" t="s">
        <v>11</v>
      </c>
      <c r="B87">
        <v>410012360.83333331</v>
      </c>
      <c r="C87">
        <v>1074618815</v>
      </c>
      <c r="D87">
        <v>8659835720</v>
      </c>
      <c r="E87">
        <v>144676775505</v>
      </c>
    </row>
    <row r="88" spans="1:5" x14ac:dyDescent="0.25">
      <c r="A88" t="s">
        <v>11</v>
      </c>
      <c r="B88">
        <v>412864821.66666669</v>
      </c>
      <c r="C88">
        <v>1077573216.666667</v>
      </c>
      <c r="D88">
        <v>8713745165</v>
      </c>
      <c r="E88">
        <v>143991772070</v>
      </c>
    </row>
    <row r="89" spans="1:5" x14ac:dyDescent="0.25">
      <c r="A89" t="s">
        <v>12</v>
      </c>
      <c r="B89">
        <v>401207095.83333331</v>
      </c>
      <c r="C89">
        <v>985230969.99999976</v>
      </c>
      <c r="D89">
        <v>8904318400</v>
      </c>
      <c r="E89">
        <v>139799845660</v>
      </c>
    </row>
    <row r="90" spans="1:5" x14ac:dyDescent="0.25">
      <c r="A90" t="s">
        <v>12</v>
      </c>
      <c r="B90">
        <v>412809751.66666669</v>
      </c>
      <c r="C90">
        <v>994270195.83333325</v>
      </c>
      <c r="D90">
        <v>8322855015</v>
      </c>
      <c r="E90">
        <v>146072668145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0"/>
  <sheetViews>
    <sheetView topLeftCell="A66" zoomScaleNormal="100" workbookViewId="0">
      <selection activeCell="M19" sqref="M19"/>
    </sheetView>
  </sheetViews>
  <sheetFormatPr defaultColWidth="8.5703125" defaultRowHeight="15" x14ac:dyDescent="0.25"/>
  <cols>
    <col min="1" max="1" width="24" customWidth="1"/>
    <col min="2" max="2" width="11" customWidth="1"/>
    <col min="3" max="3" width="15" customWidth="1"/>
    <col min="4" max="4" width="12" customWidth="1"/>
    <col min="5" max="5" width="13" customWidth="1"/>
    <col min="6" max="6" width="20" customWidth="1"/>
    <col min="7" max="7" width="10" customWidth="1"/>
    <col min="8" max="9" width="11" customWidth="1"/>
    <col min="10" max="31" width="10" customWidth="1"/>
    <col min="32" max="43" width="9" customWidth="1"/>
    <col min="44" max="46" width="8" customWidth="1"/>
    <col min="47" max="48" width="9" customWidth="1"/>
    <col min="49" max="49" width="8" customWidth="1"/>
    <col min="50" max="50" width="9" customWidth="1"/>
    <col min="51" max="52" width="8" customWidth="1"/>
    <col min="53" max="53" width="9" customWidth="1"/>
    <col min="54" max="54" width="8" customWidth="1"/>
    <col min="55" max="55" width="9" customWidth="1"/>
    <col min="56" max="59" width="8" customWidth="1"/>
    <col min="60" max="60" width="9" customWidth="1"/>
    <col min="61" max="61" width="8" customWidth="1"/>
  </cols>
  <sheetData>
    <row r="1" spans="1:6" ht="15" customHeight="1" x14ac:dyDescent="0.2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 x14ac:dyDescent="0.25">
      <c r="A2" t="s">
        <v>5</v>
      </c>
      <c r="B2">
        <v>1</v>
      </c>
      <c r="C2">
        <v>1176224</v>
      </c>
      <c r="D2">
        <v>1142402</v>
      </c>
      <c r="E2">
        <v>1210046</v>
      </c>
      <c r="F2">
        <v>33822</v>
      </c>
    </row>
    <row r="3" spans="1:6" x14ac:dyDescent="0.25">
      <c r="A3" t="s">
        <v>5</v>
      </c>
      <c r="B3">
        <v>2</v>
      </c>
      <c r="C3">
        <v>3281593</v>
      </c>
      <c r="D3">
        <v>3146404</v>
      </c>
      <c r="E3">
        <v>3416782</v>
      </c>
      <c r="F3">
        <v>135189</v>
      </c>
    </row>
    <row r="4" spans="1:6" x14ac:dyDescent="0.25">
      <c r="A4" t="s">
        <v>5</v>
      </c>
      <c r="B4">
        <v>3</v>
      </c>
      <c r="C4">
        <v>21830704.5</v>
      </c>
      <c r="D4">
        <v>21063159</v>
      </c>
      <c r="E4">
        <v>22598250</v>
      </c>
      <c r="F4">
        <v>767545.5</v>
      </c>
    </row>
    <row r="5" spans="1:6" x14ac:dyDescent="0.25">
      <c r="A5" t="s">
        <v>5</v>
      </c>
      <c r="B5">
        <v>4</v>
      </c>
      <c r="C5">
        <v>351100005.5</v>
      </c>
      <c r="D5">
        <v>325104862</v>
      </c>
      <c r="E5">
        <v>377095149</v>
      </c>
      <c r="F5">
        <v>25995143.5</v>
      </c>
    </row>
    <row r="6" spans="1:6" x14ac:dyDescent="0.25">
      <c r="A6" t="s">
        <v>6</v>
      </c>
      <c r="B6">
        <v>1</v>
      </c>
      <c r="C6">
        <v>1167295</v>
      </c>
      <c r="D6">
        <v>1145526</v>
      </c>
      <c r="E6">
        <v>1189064</v>
      </c>
      <c r="F6">
        <v>21769</v>
      </c>
    </row>
    <row r="7" spans="1:6" x14ac:dyDescent="0.25">
      <c r="A7" t="s">
        <v>6</v>
      </c>
      <c r="B7">
        <v>2</v>
      </c>
      <c r="C7">
        <v>3143636.5</v>
      </c>
      <c r="D7">
        <v>3083898</v>
      </c>
      <c r="E7">
        <v>3203375</v>
      </c>
      <c r="F7">
        <v>59738.5</v>
      </c>
    </row>
    <row r="8" spans="1:6" x14ac:dyDescent="0.25">
      <c r="A8" t="s">
        <v>6</v>
      </c>
      <c r="B8">
        <v>3</v>
      </c>
      <c r="C8">
        <v>22406924</v>
      </c>
      <c r="D8">
        <v>21856836</v>
      </c>
      <c r="E8">
        <v>22957012</v>
      </c>
      <c r="F8">
        <v>550088</v>
      </c>
    </row>
    <row r="9" spans="1:6" x14ac:dyDescent="0.25">
      <c r="A9" t="s">
        <v>6</v>
      </c>
      <c r="B9">
        <v>4</v>
      </c>
      <c r="C9">
        <v>346477828.5</v>
      </c>
      <c r="D9">
        <v>310044240</v>
      </c>
      <c r="E9">
        <v>382911417</v>
      </c>
      <c r="F9">
        <v>36433588.5</v>
      </c>
    </row>
    <row r="10" spans="1:6" x14ac:dyDescent="0.25">
      <c r="A10" t="s">
        <v>7</v>
      </c>
      <c r="B10">
        <v>1</v>
      </c>
      <c r="C10">
        <v>1155068.5</v>
      </c>
      <c r="D10">
        <v>1155059</v>
      </c>
      <c r="E10">
        <v>1155078</v>
      </c>
      <c r="F10">
        <v>9.5</v>
      </c>
    </row>
    <row r="11" spans="1:6" x14ac:dyDescent="0.25">
      <c r="A11" t="s">
        <v>7</v>
      </c>
      <c r="B11">
        <v>2</v>
      </c>
      <c r="C11">
        <v>3890833</v>
      </c>
      <c r="D11">
        <v>3890831</v>
      </c>
      <c r="E11">
        <v>3890835</v>
      </c>
      <c r="F11">
        <v>2</v>
      </c>
    </row>
    <row r="12" spans="1:6" ht="15" customHeight="1" x14ac:dyDescent="0.25">
      <c r="A12" s="1" t="s">
        <v>7</v>
      </c>
      <c r="B12">
        <v>3</v>
      </c>
      <c r="C12">
        <v>22891683.5</v>
      </c>
      <c r="D12">
        <v>22891678</v>
      </c>
      <c r="E12">
        <v>22891689</v>
      </c>
      <c r="F12">
        <v>5.5</v>
      </c>
    </row>
    <row r="13" spans="1:6" x14ac:dyDescent="0.25">
      <c r="A13" t="s">
        <v>7</v>
      </c>
      <c r="B13">
        <v>4</v>
      </c>
      <c r="C13">
        <v>372108763.5</v>
      </c>
      <c r="D13">
        <v>372108750</v>
      </c>
      <c r="E13">
        <v>372108777</v>
      </c>
      <c r="F13">
        <v>13.5</v>
      </c>
    </row>
    <row r="14" spans="1:6" x14ac:dyDescent="0.25">
      <c r="A14" t="s">
        <v>8</v>
      </c>
      <c r="B14">
        <v>1</v>
      </c>
      <c r="C14">
        <v>1318100</v>
      </c>
      <c r="D14">
        <v>1241852</v>
      </c>
      <c r="E14">
        <v>1394348</v>
      </c>
      <c r="F14">
        <v>76248</v>
      </c>
    </row>
    <row r="15" spans="1:6" x14ac:dyDescent="0.25">
      <c r="A15" t="s">
        <v>8</v>
      </c>
      <c r="B15">
        <v>2</v>
      </c>
      <c r="C15">
        <v>3445090</v>
      </c>
      <c r="D15">
        <v>3311620</v>
      </c>
      <c r="E15">
        <v>3578560</v>
      </c>
      <c r="F15">
        <v>133470</v>
      </c>
    </row>
    <row r="16" spans="1:6" x14ac:dyDescent="0.25">
      <c r="A16" t="s">
        <v>8</v>
      </c>
      <c r="B16">
        <v>3</v>
      </c>
      <c r="C16">
        <v>27311372.5</v>
      </c>
      <c r="D16">
        <v>26454254</v>
      </c>
      <c r="E16">
        <v>28168491</v>
      </c>
      <c r="F16">
        <v>857118.5</v>
      </c>
    </row>
    <row r="17" spans="1:6" x14ac:dyDescent="0.25">
      <c r="A17" t="s">
        <v>8</v>
      </c>
      <c r="B17">
        <v>4</v>
      </c>
      <c r="C17">
        <v>431719083</v>
      </c>
      <c r="D17">
        <v>429918814</v>
      </c>
      <c r="E17">
        <v>433519352</v>
      </c>
      <c r="F17">
        <v>1800269</v>
      </c>
    </row>
    <row r="18" spans="1:6" x14ac:dyDescent="0.25">
      <c r="A18" t="s">
        <v>9</v>
      </c>
      <c r="B18">
        <v>1</v>
      </c>
      <c r="C18">
        <v>1238744.5</v>
      </c>
      <c r="D18">
        <v>1228356</v>
      </c>
      <c r="E18">
        <v>1249133</v>
      </c>
      <c r="F18">
        <v>10388.5</v>
      </c>
    </row>
    <row r="19" spans="1:6" x14ac:dyDescent="0.25">
      <c r="A19" t="s">
        <v>9</v>
      </c>
      <c r="B19">
        <v>2</v>
      </c>
      <c r="C19">
        <v>3286134.5</v>
      </c>
      <c r="D19">
        <v>3230262</v>
      </c>
      <c r="E19">
        <v>3342007</v>
      </c>
      <c r="F19">
        <v>55872.5</v>
      </c>
    </row>
    <row r="20" spans="1:6" ht="15" customHeight="1" x14ac:dyDescent="0.25">
      <c r="A20" s="1" t="s">
        <v>9</v>
      </c>
      <c r="B20">
        <v>3</v>
      </c>
      <c r="C20">
        <v>24535266</v>
      </c>
      <c r="D20">
        <v>24103658</v>
      </c>
      <c r="E20">
        <v>24966874</v>
      </c>
      <c r="F20">
        <v>431608</v>
      </c>
    </row>
    <row r="21" spans="1:6" x14ac:dyDescent="0.25">
      <c r="A21" t="s">
        <v>9</v>
      </c>
      <c r="B21">
        <v>4</v>
      </c>
      <c r="C21">
        <v>409578488.5</v>
      </c>
      <c r="D21">
        <v>397644186</v>
      </c>
      <c r="E21">
        <v>421512791</v>
      </c>
      <c r="F21">
        <v>11934302.5</v>
      </c>
    </row>
    <row r="22" spans="1:6" x14ac:dyDescent="0.25">
      <c r="A22" t="s">
        <v>10</v>
      </c>
      <c r="B22">
        <v>1</v>
      </c>
      <c r="C22">
        <v>1303244.5</v>
      </c>
      <c r="D22">
        <v>1273761</v>
      </c>
      <c r="E22">
        <v>1332728</v>
      </c>
      <c r="F22">
        <v>29483.5</v>
      </c>
    </row>
    <row r="23" spans="1:6" ht="15" customHeight="1" x14ac:dyDescent="0.25">
      <c r="A23" s="1" t="s">
        <v>10</v>
      </c>
      <c r="B23">
        <v>2</v>
      </c>
      <c r="C23">
        <v>3540714.5</v>
      </c>
      <c r="D23">
        <v>3314859</v>
      </c>
      <c r="E23">
        <v>3766570</v>
      </c>
      <c r="F23">
        <v>225855.5</v>
      </c>
    </row>
    <row r="24" spans="1:6" x14ac:dyDescent="0.25">
      <c r="A24" t="s">
        <v>10</v>
      </c>
      <c r="B24">
        <v>3</v>
      </c>
      <c r="C24">
        <v>26412586.5</v>
      </c>
      <c r="D24">
        <v>25274922</v>
      </c>
      <c r="E24">
        <v>27550251</v>
      </c>
      <c r="F24">
        <v>1137664.5</v>
      </c>
    </row>
    <row r="25" spans="1:6" x14ac:dyDescent="0.25">
      <c r="A25" t="s">
        <v>10</v>
      </c>
      <c r="B25">
        <v>4</v>
      </c>
      <c r="C25">
        <v>420217738</v>
      </c>
      <c r="D25">
        <v>353833451</v>
      </c>
      <c r="E25">
        <v>486602025</v>
      </c>
      <c r="F25">
        <v>66384287</v>
      </c>
    </row>
    <row r="26" spans="1:6" x14ac:dyDescent="0.25">
      <c r="A26" t="s">
        <v>11</v>
      </c>
      <c r="B26">
        <v>1</v>
      </c>
      <c r="C26">
        <v>1268083</v>
      </c>
      <c r="D26">
        <v>1260253</v>
      </c>
      <c r="E26">
        <v>1275913</v>
      </c>
      <c r="F26">
        <v>7830</v>
      </c>
    </row>
    <row r="27" spans="1:6" x14ac:dyDescent="0.25">
      <c r="A27" t="s">
        <v>11</v>
      </c>
      <c r="B27">
        <v>2</v>
      </c>
      <c r="C27">
        <v>3495996.5</v>
      </c>
      <c r="D27">
        <v>3462277</v>
      </c>
      <c r="E27">
        <v>3529716</v>
      </c>
      <c r="F27">
        <v>33719.5</v>
      </c>
    </row>
    <row r="28" spans="1:6" ht="15" customHeight="1" x14ac:dyDescent="0.25">
      <c r="A28" s="1" t="s">
        <v>11</v>
      </c>
      <c r="B28">
        <v>3</v>
      </c>
      <c r="C28">
        <v>25661359.5</v>
      </c>
      <c r="D28">
        <v>25347888</v>
      </c>
      <c r="E28">
        <v>25974831</v>
      </c>
      <c r="F28">
        <v>313471.5</v>
      </c>
    </row>
    <row r="29" spans="1:6" x14ac:dyDescent="0.25">
      <c r="A29" t="s">
        <v>11</v>
      </c>
      <c r="B29">
        <v>4</v>
      </c>
      <c r="C29">
        <v>424682924.5</v>
      </c>
      <c r="D29">
        <v>421966439</v>
      </c>
      <c r="E29">
        <v>427399410</v>
      </c>
      <c r="F29">
        <v>2716485.5</v>
      </c>
    </row>
    <row r="30" spans="1:6" x14ac:dyDescent="0.25">
      <c r="A30" t="s">
        <v>12</v>
      </c>
      <c r="B30">
        <v>1</v>
      </c>
      <c r="C30">
        <v>1254359</v>
      </c>
      <c r="D30">
        <v>1226500</v>
      </c>
      <c r="E30">
        <v>1282218</v>
      </c>
      <c r="F30">
        <v>27859</v>
      </c>
    </row>
    <row r="31" spans="1:6" ht="15" customHeight="1" x14ac:dyDescent="0.25">
      <c r="A31" s="1" t="s">
        <v>12</v>
      </c>
      <c r="B31">
        <v>2</v>
      </c>
      <c r="C31">
        <v>3195723</v>
      </c>
      <c r="D31">
        <v>3190664</v>
      </c>
      <c r="E31">
        <v>3200782</v>
      </c>
      <c r="F31">
        <v>5059</v>
      </c>
    </row>
    <row r="32" spans="1:6" x14ac:dyDescent="0.25">
      <c r="A32" t="s">
        <v>12</v>
      </c>
      <c r="B32">
        <v>3</v>
      </c>
      <c r="C32">
        <v>25545074</v>
      </c>
      <c r="D32">
        <v>24761478</v>
      </c>
      <c r="E32">
        <v>26328670</v>
      </c>
      <c r="F32">
        <v>783596</v>
      </c>
    </row>
    <row r="33" spans="1:6" x14ac:dyDescent="0.25">
      <c r="A33" t="s">
        <v>12</v>
      </c>
      <c r="B33">
        <v>4</v>
      </c>
      <c r="C33">
        <v>413789189</v>
      </c>
      <c r="D33">
        <v>396620696</v>
      </c>
      <c r="E33">
        <v>430957682</v>
      </c>
      <c r="F33">
        <v>17168493</v>
      </c>
    </row>
    <row r="35" spans="1:6" ht="15" customHeight="1" x14ac:dyDescent="0.25">
      <c r="A35" s="1"/>
    </row>
    <row r="36" spans="1:6" ht="15" customHeight="1" x14ac:dyDescent="0.25">
      <c r="A36" s="4" t="s">
        <v>21</v>
      </c>
    </row>
    <row r="37" spans="1:6" x14ac:dyDescent="0.25">
      <c r="A37" t="s">
        <v>5</v>
      </c>
      <c r="C37">
        <v>94347131.75</v>
      </c>
      <c r="D37">
        <v>1142402</v>
      </c>
      <c r="E37">
        <v>377095149</v>
      </c>
      <c r="F37">
        <v>149022462.09082741</v>
      </c>
    </row>
    <row r="38" spans="1:6" x14ac:dyDescent="0.25">
      <c r="A38" t="s">
        <v>6</v>
      </c>
      <c r="C38">
        <v>93298921</v>
      </c>
      <c r="D38">
        <v>1145526</v>
      </c>
      <c r="E38">
        <v>382911417</v>
      </c>
      <c r="F38">
        <v>147537418.3763175</v>
      </c>
    </row>
    <row r="39" spans="1:6" ht="15" customHeight="1" x14ac:dyDescent="0.25">
      <c r="A39" s="1" t="s">
        <v>7</v>
      </c>
      <c r="C39">
        <v>100011587.125</v>
      </c>
      <c r="D39">
        <v>1155059</v>
      </c>
      <c r="E39">
        <v>372108777</v>
      </c>
      <c r="F39">
        <v>157318278.95590451</v>
      </c>
    </row>
    <row r="40" spans="1:6" x14ac:dyDescent="0.25">
      <c r="A40" t="s">
        <v>8</v>
      </c>
      <c r="C40">
        <v>115948411.375</v>
      </c>
      <c r="D40">
        <v>1241852</v>
      </c>
      <c r="E40">
        <v>433519352</v>
      </c>
      <c r="F40">
        <v>182598430.0137611</v>
      </c>
    </row>
    <row r="41" spans="1:6" x14ac:dyDescent="0.25">
      <c r="A41" t="s">
        <v>9</v>
      </c>
      <c r="C41">
        <v>109659658.375</v>
      </c>
      <c r="D41">
        <v>1228356</v>
      </c>
      <c r="E41">
        <v>421512791</v>
      </c>
      <c r="F41">
        <v>173501084.34756339</v>
      </c>
    </row>
    <row r="42" spans="1:6" x14ac:dyDescent="0.25">
      <c r="A42" t="s">
        <v>10</v>
      </c>
      <c r="C42">
        <v>112868570.875</v>
      </c>
      <c r="D42">
        <v>1273761</v>
      </c>
      <c r="E42">
        <v>486602025</v>
      </c>
      <c r="F42">
        <v>180793922.54469651</v>
      </c>
    </row>
    <row r="43" spans="1:6" ht="15" customHeight="1" x14ac:dyDescent="0.25">
      <c r="A43" s="1" t="s">
        <v>11</v>
      </c>
      <c r="C43">
        <v>113777090.875</v>
      </c>
      <c r="D43">
        <v>1260253</v>
      </c>
      <c r="E43">
        <v>427399410</v>
      </c>
      <c r="F43">
        <v>179759905.76567569</v>
      </c>
    </row>
    <row r="44" spans="1:6" x14ac:dyDescent="0.25">
      <c r="A44" t="s">
        <v>12</v>
      </c>
      <c r="C44">
        <v>110946086.25</v>
      </c>
      <c r="D44">
        <v>1226500</v>
      </c>
      <c r="E44">
        <v>430957682</v>
      </c>
      <c r="F44">
        <v>175317615.74387401</v>
      </c>
    </row>
    <row r="47" spans="1:6" ht="15" customHeight="1" x14ac:dyDescent="0.25">
      <c r="A47" s="4" t="s">
        <v>22</v>
      </c>
    </row>
    <row r="48" spans="1:6" x14ac:dyDescent="0.25">
      <c r="A48" t="s">
        <v>23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5</v>
      </c>
      <c r="B49">
        <v>1176224</v>
      </c>
      <c r="C49">
        <v>3281593</v>
      </c>
      <c r="D49">
        <v>21830704.5</v>
      </c>
      <c r="E49">
        <v>351100005.5</v>
      </c>
    </row>
    <row r="50" spans="1:9" x14ac:dyDescent="0.25">
      <c r="A50" t="s">
        <v>6</v>
      </c>
      <c r="B50">
        <v>1167295</v>
      </c>
      <c r="C50">
        <v>3143636.5</v>
      </c>
      <c r="D50">
        <v>22406924</v>
      </c>
      <c r="E50">
        <v>346477828.5</v>
      </c>
    </row>
    <row r="51" spans="1:9" ht="15" customHeight="1" x14ac:dyDescent="0.25">
      <c r="A51" s="1" t="s">
        <v>7</v>
      </c>
      <c r="B51">
        <v>1155068.5</v>
      </c>
      <c r="C51">
        <v>3890833</v>
      </c>
      <c r="D51">
        <v>22891683.5</v>
      </c>
      <c r="E51">
        <v>372108763.5</v>
      </c>
    </row>
    <row r="52" spans="1:9" x14ac:dyDescent="0.25">
      <c r="A52" t="s">
        <v>8</v>
      </c>
      <c r="B52">
        <v>1318100</v>
      </c>
      <c r="C52">
        <v>3445090</v>
      </c>
      <c r="D52">
        <v>27311372.5</v>
      </c>
      <c r="E52">
        <v>431719083</v>
      </c>
    </row>
    <row r="53" spans="1:9" x14ac:dyDescent="0.25">
      <c r="A53" t="s">
        <v>9</v>
      </c>
      <c r="B53">
        <v>1238744.5</v>
      </c>
      <c r="C53">
        <v>3286134.5</v>
      </c>
      <c r="D53">
        <v>24535266</v>
      </c>
      <c r="E53">
        <v>409578488.5</v>
      </c>
    </row>
    <row r="54" spans="1:9" x14ac:dyDescent="0.25">
      <c r="A54" t="s">
        <v>10</v>
      </c>
      <c r="B54">
        <v>1303244.5</v>
      </c>
      <c r="C54">
        <v>3540714.5</v>
      </c>
      <c r="D54">
        <v>26412586.5</v>
      </c>
      <c r="E54">
        <v>420217738</v>
      </c>
    </row>
    <row r="55" spans="1:9" x14ac:dyDescent="0.25">
      <c r="A55" t="s">
        <v>11</v>
      </c>
      <c r="B55">
        <v>1268083</v>
      </c>
      <c r="C55">
        <v>3495996.5</v>
      </c>
      <c r="D55">
        <v>25661359.5</v>
      </c>
      <c r="E55">
        <v>424682924.5</v>
      </c>
    </row>
    <row r="56" spans="1:9" x14ac:dyDescent="0.25">
      <c r="A56" t="s">
        <v>12</v>
      </c>
      <c r="B56">
        <v>1254359</v>
      </c>
      <c r="C56">
        <v>3195723</v>
      </c>
      <c r="D56">
        <v>25545074</v>
      </c>
      <c r="E56">
        <v>413789189</v>
      </c>
    </row>
    <row r="59" spans="1:9" ht="15" customHeight="1" x14ac:dyDescent="0.25">
      <c r="A59" s="4" t="s">
        <v>24</v>
      </c>
    </row>
    <row r="60" spans="1:9" x14ac:dyDescent="0.25">
      <c r="A60" t="s">
        <v>23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5</v>
      </c>
      <c r="B61">
        <v>1142402</v>
      </c>
      <c r="C61">
        <v>1210046</v>
      </c>
      <c r="D61">
        <v>3146404</v>
      </c>
      <c r="E61">
        <v>3416782</v>
      </c>
      <c r="F61">
        <v>22598250</v>
      </c>
      <c r="G61">
        <v>21063159</v>
      </c>
      <c r="H61">
        <v>377095149</v>
      </c>
      <c r="I61">
        <v>325104862</v>
      </c>
    </row>
    <row r="62" spans="1:9" x14ac:dyDescent="0.25">
      <c r="A62" t="s">
        <v>6</v>
      </c>
      <c r="B62">
        <v>1145526</v>
      </c>
      <c r="C62">
        <v>1189064</v>
      </c>
      <c r="D62">
        <v>3203375</v>
      </c>
      <c r="E62">
        <v>3083898</v>
      </c>
      <c r="F62">
        <v>21856836</v>
      </c>
      <c r="G62">
        <v>22957012</v>
      </c>
      <c r="H62">
        <v>310044240</v>
      </c>
      <c r="I62">
        <v>382911417</v>
      </c>
    </row>
    <row r="63" spans="1:9" x14ac:dyDescent="0.25">
      <c r="A63" t="s">
        <v>7</v>
      </c>
      <c r="B63">
        <v>1155059</v>
      </c>
      <c r="C63">
        <v>1155078</v>
      </c>
      <c r="D63">
        <v>3890831</v>
      </c>
      <c r="E63">
        <v>3890835</v>
      </c>
      <c r="F63">
        <v>22891678</v>
      </c>
      <c r="G63">
        <v>22891689</v>
      </c>
      <c r="H63">
        <v>372108777</v>
      </c>
      <c r="I63">
        <v>372108750</v>
      </c>
    </row>
    <row r="64" spans="1:9" x14ac:dyDescent="0.25">
      <c r="A64" t="s">
        <v>8</v>
      </c>
      <c r="B64">
        <v>1241852</v>
      </c>
      <c r="C64">
        <v>1394348</v>
      </c>
      <c r="D64">
        <v>3311620</v>
      </c>
      <c r="E64">
        <v>3578560</v>
      </c>
      <c r="F64">
        <v>28168491</v>
      </c>
      <c r="G64">
        <v>26454254</v>
      </c>
      <c r="H64">
        <v>429918814</v>
      </c>
      <c r="I64">
        <v>433519352</v>
      </c>
    </row>
    <row r="65" spans="1:9" x14ac:dyDescent="0.25">
      <c r="A65" t="s">
        <v>9</v>
      </c>
      <c r="B65">
        <v>1249133</v>
      </c>
      <c r="C65">
        <v>1228356</v>
      </c>
      <c r="D65">
        <v>3230262</v>
      </c>
      <c r="E65">
        <v>3342007</v>
      </c>
      <c r="F65">
        <v>24103658</v>
      </c>
      <c r="G65">
        <v>24966874</v>
      </c>
      <c r="H65">
        <v>397644186</v>
      </c>
      <c r="I65">
        <v>421512791</v>
      </c>
    </row>
    <row r="66" spans="1:9" x14ac:dyDescent="0.25">
      <c r="A66" t="s">
        <v>10</v>
      </c>
      <c r="B66">
        <v>1273761</v>
      </c>
      <c r="C66">
        <v>1332728</v>
      </c>
      <c r="D66">
        <v>3766570</v>
      </c>
      <c r="E66">
        <v>3314859</v>
      </c>
      <c r="F66">
        <v>25274922</v>
      </c>
      <c r="G66">
        <v>27550251</v>
      </c>
      <c r="H66">
        <v>353833451</v>
      </c>
      <c r="I66">
        <v>486602025</v>
      </c>
    </row>
    <row r="67" spans="1:9" x14ac:dyDescent="0.25">
      <c r="A67" t="s">
        <v>11</v>
      </c>
      <c r="B67">
        <v>1275913</v>
      </c>
      <c r="C67">
        <v>1260253</v>
      </c>
      <c r="D67">
        <v>3462277</v>
      </c>
      <c r="E67">
        <v>3529716</v>
      </c>
      <c r="F67">
        <v>25347888</v>
      </c>
      <c r="G67">
        <v>25974831</v>
      </c>
      <c r="H67">
        <v>421966439</v>
      </c>
      <c r="I67">
        <v>427399410</v>
      </c>
    </row>
    <row r="68" spans="1:9" x14ac:dyDescent="0.25">
      <c r="A68" t="s">
        <v>12</v>
      </c>
      <c r="B68">
        <v>1226500</v>
      </c>
      <c r="C68">
        <v>1282218</v>
      </c>
      <c r="D68">
        <v>3200782</v>
      </c>
      <c r="E68">
        <v>3190664</v>
      </c>
      <c r="F68">
        <v>26328670</v>
      </c>
      <c r="G68">
        <v>24761478</v>
      </c>
      <c r="H68">
        <v>396620696</v>
      </c>
      <c r="I68">
        <v>430957682</v>
      </c>
    </row>
    <row r="73" spans="1:9" x14ac:dyDescent="0.25">
      <c r="A73" t="s">
        <v>24</v>
      </c>
    </row>
    <row r="74" spans="1:9" x14ac:dyDescent="0.25">
      <c r="A74" t="s">
        <v>23</v>
      </c>
      <c r="B74" t="s">
        <v>25</v>
      </c>
      <c r="C74" t="s">
        <v>26</v>
      </c>
      <c r="D74" t="s">
        <v>27</v>
      </c>
      <c r="E74" t="s">
        <v>28</v>
      </c>
    </row>
    <row r="75" spans="1:9" x14ac:dyDescent="0.25">
      <c r="A75" t="s">
        <v>5</v>
      </c>
      <c r="B75">
        <v>1142402</v>
      </c>
      <c r="C75">
        <v>3146404</v>
      </c>
      <c r="D75">
        <v>22598250</v>
      </c>
      <c r="E75">
        <v>377095149</v>
      </c>
    </row>
    <row r="76" spans="1:9" x14ac:dyDescent="0.25">
      <c r="A76" t="s">
        <v>5</v>
      </c>
      <c r="B76">
        <v>1210046</v>
      </c>
      <c r="C76">
        <v>3416782</v>
      </c>
      <c r="D76">
        <v>21063159</v>
      </c>
      <c r="E76">
        <v>325104862</v>
      </c>
    </row>
    <row r="77" spans="1:9" x14ac:dyDescent="0.25">
      <c r="A77" t="s">
        <v>6</v>
      </c>
      <c r="B77">
        <v>1145526</v>
      </c>
      <c r="C77">
        <v>3203375</v>
      </c>
      <c r="D77">
        <v>21856836</v>
      </c>
      <c r="E77">
        <v>310044240</v>
      </c>
    </row>
    <row r="78" spans="1:9" x14ac:dyDescent="0.25">
      <c r="A78" t="s">
        <v>6</v>
      </c>
      <c r="B78">
        <v>1189064</v>
      </c>
      <c r="C78">
        <v>3083898</v>
      </c>
      <c r="D78">
        <v>22957012</v>
      </c>
      <c r="E78">
        <v>382911417</v>
      </c>
    </row>
    <row r="79" spans="1:9" x14ac:dyDescent="0.25">
      <c r="A79" t="s">
        <v>7</v>
      </c>
      <c r="B79">
        <v>1155059</v>
      </c>
      <c r="C79">
        <v>3890831</v>
      </c>
      <c r="D79">
        <v>22891678</v>
      </c>
      <c r="E79">
        <v>372108777</v>
      </c>
    </row>
    <row r="80" spans="1:9" x14ac:dyDescent="0.25">
      <c r="A80" t="s">
        <v>7</v>
      </c>
      <c r="B80">
        <v>1155078</v>
      </c>
      <c r="C80">
        <v>3890835</v>
      </c>
      <c r="D80">
        <v>22891689</v>
      </c>
      <c r="E80">
        <v>372108750</v>
      </c>
    </row>
    <row r="81" spans="1:5" x14ac:dyDescent="0.25">
      <c r="A81" t="s">
        <v>8</v>
      </c>
      <c r="B81">
        <v>1241852</v>
      </c>
      <c r="C81">
        <v>3311620</v>
      </c>
      <c r="D81">
        <v>28168491</v>
      </c>
      <c r="E81">
        <v>429918814</v>
      </c>
    </row>
    <row r="82" spans="1:5" x14ac:dyDescent="0.25">
      <c r="A82" t="s">
        <v>8</v>
      </c>
      <c r="B82">
        <v>1394348</v>
      </c>
      <c r="C82">
        <v>3578560</v>
      </c>
      <c r="D82">
        <v>26454254</v>
      </c>
      <c r="E82">
        <v>433519352</v>
      </c>
    </row>
    <row r="83" spans="1:5" x14ac:dyDescent="0.25">
      <c r="A83" t="s">
        <v>9</v>
      </c>
      <c r="B83">
        <v>1249133</v>
      </c>
      <c r="C83">
        <v>3230262</v>
      </c>
      <c r="D83">
        <v>24103658</v>
      </c>
      <c r="E83">
        <v>397644186</v>
      </c>
    </row>
    <row r="84" spans="1:5" x14ac:dyDescent="0.25">
      <c r="A84" t="s">
        <v>9</v>
      </c>
      <c r="B84">
        <v>1228356</v>
      </c>
      <c r="C84">
        <v>3342007</v>
      </c>
      <c r="D84">
        <v>24966874</v>
      </c>
      <c r="E84">
        <v>421512791</v>
      </c>
    </row>
    <row r="85" spans="1:5" x14ac:dyDescent="0.25">
      <c r="A85" t="s">
        <v>10</v>
      </c>
      <c r="B85">
        <v>1273761</v>
      </c>
      <c r="C85">
        <v>3766570</v>
      </c>
      <c r="D85">
        <v>25274922</v>
      </c>
      <c r="E85">
        <v>353833451</v>
      </c>
    </row>
    <row r="86" spans="1:5" x14ac:dyDescent="0.25">
      <c r="A86" t="s">
        <v>10</v>
      </c>
      <c r="B86">
        <v>1332728</v>
      </c>
      <c r="C86">
        <v>3314859</v>
      </c>
      <c r="D86">
        <v>27550251</v>
      </c>
      <c r="E86">
        <v>486602025</v>
      </c>
    </row>
    <row r="87" spans="1:5" x14ac:dyDescent="0.25">
      <c r="A87" t="s">
        <v>11</v>
      </c>
      <c r="B87">
        <v>1275913</v>
      </c>
      <c r="C87">
        <v>3462277</v>
      </c>
      <c r="D87">
        <v>25347888</v>
      </c>
      <c r="E87">
        <v>421966439</v>
      </c>
    </row>
    <row r="88" spans="1:5" x14ac:dyDescent="0.25">
      <c r="A88" t="s">
        <v>11</v>
      </c>
      <c r="B88">
        <v>1260253</v>
      </c>
      <c r="C88">
        <v>3529716</v>
      </c>
      <c r="D88">
        <v>25974831</v>
      </c>
      <c r="E88">
        <v>427399410</v>
      </c>
    </row>
    <row r="89" spans="1:5" x14ac:dyDescent="0.25">
      <c r="A89" t="s">
        <v>12</v>
      </c>
      <c r="B89">
        <v>1226500</v>
      </c>
      <c r="C89">
        <v>3200782</v>
      </c>
      <c r="D89">
        <v>26328670</v>
      </c>
      <c r="E89">
        <v>396620696</v>
      </c>
    </row>
    <row r="90" spans="1:5" x14ac:dyDescent="0.25">
      <c r="A90" t="s">
        <v>12</v>
      </c>
      <c r="B90">
        <v>1282218</v>
      </c>
      <c r="C90">
        <v>3190664</v>
      </c>
      <c r="D90">
        <v>24761478</v>
      </c>
      <c r="E90">
        <v>430957682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9" customWidth="1"/>
    <col min="4" max="5" width="6" customWidth="1"/>
    <col min="6" max="6" width="21" customWidth="1"/>
    <col min="7" max="9" width="6" customWidth="1"/>
    <col min="10" max="11" width="2" customWidth="1"/>
    <col min="12" max="61" width="6" customWidth="1"/>
  </cols>
  <sheetData>
    <row r="1" spans="1:6" ht="15" customHeight="1" x14ac:dyDescent="0.2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 ht="15" customHeight="1" x14ac:dyDescent="0.25">
      <c r="A2" t="s">
        <v>5</v>
      </c>
      <c r="B2">
        <v>1</v>
      </c>
      <c r="C2">
        <v>0</v>
      </c>
      <c r="D2" s="2" t="b">
        <v>0</v>
      </c>
      <c r="E2" s="2" t="b">
        <v>0</v>
      </c>
      <c r="F2">
        <v>0</v>
      </c>
    </row>
    <row r="3" spans="1:6" ht="15" customHeight="1" x14ac:dyDescent="0.25">
      <c r="A3" t="s">
        <v>5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5</v>
      </c>
      <c r="B4">
        <v>3</v>
      </c>
      <c r="C4">
        <v>0.5</v>
      </c>
      <c r="D4" s="2" t="b">
        <v>0</v>
      </c>
      <c r="E4" s="2" t="b">
        <v>1</v>
      </c>
      <c r="F4">
        <v>0.5</v>
      </c>
    </row>
    <row r="5" spans="1:6" ht="15" customHeight="1" x14ac:dyDescent="0.25">
      <c r="A5" t="s">
        <v>5</v>
      </c>
      <c r="B5">
        <v>4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6</v>
      </c>
      <c r="B6">
        <v>1</v>
      </c>
      <c r="C6">
        <v>0</v>
      </c>
      <c r="D6" s="2" t="b">
        <v>0</v>
      </c>
      <c r="E6" s="2" t="b">
        <v>0</v>
      </c>
      <c r="F6">
        <v>0</v>
      </c>
    </row>
    <row r="7" spans="1:6" ht="15" customHeight="1" x14ac:dyDescent="0.25">
      <c r="A7" t="s">
        <v>6</v>
      </c>
      <c r="B7">
        <v>2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6</v>
      </c>
      <c r="B8">
        <v>3</v>
      </c>
      <c r="C8">
        <v>0.5</v>
      </c>
      <c r="D8" s="2" t="b">
        <v>0</v>
      </c>
      <c r="E8" s="2" t="b">
        <v>1</v>
      </c>
      <c r="F8">
        <v>0.5</v>
      </c>
    </row>
    <row r="9" spans="1:6" ht="15" customHeight="1" x14ac:dyDescent="0.25">
      <c r="A9" t="s">
        <v>6</v>
      </c>
      <c r="B9">
        <v>4</v>
      </c>
      <c r="C9">
        <v>0.5</v>
      </c>
      <c r="D9" s="2" t="b">
        <v>0</v>
      </c>
      <c r="E9" s="2" t="b">
        <v>1</v>
      </c>
      <c r="F9">
        <v>0.5</v>
      </c>
    </row>
    <row r="10" spans="1:6" ht="15" customHeight="1" x14ac:dyDescent="0.25">
      <c r="A10" t="s">
        <v>7</v>
      </c>
      <c r="B10">
        <v>1</v>
      </c>
      <c r="C10">
        <v>0</v>
      </c>
      <c r="D10" s="2" t="b">
        <v>0</v>
      </c>
      <c r="E10" s="2" t="b">
        <v>0</v>
      </c>
      <c r="F10">
        <v>0</v>
      </c>
    </row>
    <row r="11" spans="1:6" ht="15" customHeight="1" x14ac:dyDescent="0.25">
      <c r="A11" t="s">
        <v>7</v>
      </c>
      <c r="B11">
        <v>2</v>
      </c>
      <c r="C11">
        <v>0</v>
      </c>
      <c r="D11" s="2" t="b">
        <v>0</v>
      </c>
      <c r="E11" s="2" t="b">
        <v>0</v>
      </c>
      <c r="F11">
        <v>0</v>
      </c>
    </row>
    <row r="12" spans="1:6" ht="15" customHeight="1" x14ac:dyDescent="0.25">
      <c r="A12" s="1" t="s">
        <v>7</v>
      </c>
      <c r="B12">
        <v>3</v>
      </c>
      <c r="C12">
        <v>0</v>
      </c>
      <c r="D12" s="2" t="b">
        <v>0</v>
      </c>
      <c r="E12" s="2" t="b">
        <v>0</v>
      </c>
      <c r="F12">
        <v>0</v>
      </c>
    </row>
    <row r="13" spans="1:6" ht="15" customHeight="1" x14ac:dyDescent="0.25">
      <c r="A13" t="s">
        <v>7</v>
      </c>
      <c r="B13">
        <v>4</v>
      </c>
      <c r="C13">
        <v>0.5</v>
      </c>
      <c r="D13" s="2" t="b">
        <v>0</v>
      </c>
      <c r="E13" s="2" t="b">
        <v>1</v>
      </c>
      <c r="F13">
        <v>0.5</v>
      </c>
    </row>
    <row r="14" spans="1:6" ht="15" customHeight="1" x14ac:dyDescent="0.25">
      <c r="A14" t="s">
        <v>8</v>
      </c>
      <c r="B14">
        <v>1</v>
      </c>
      <c r="C14">
        <v>0</v>
      </c>
      <c r="D14" s="2" t="b">
        <v>0</v>
      </c>
      <c r="E14" s="2" t="b">
        <v>0</v>
      </c>
      <c r="F14">
        <v>0</v>
      </c>
    </row>
    <row r="15" spans="1:6" ht="15" customHeight="1" x14ac:dyDescent="0.25">
      <c r="A15" t="s">
        <v>8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8</v>
      </c>
      <c r="B16">
        <v>3</v>
      </c>
      <c r="C16">
        <v>0</v>
      </c>
      <c r="D16" s="2" t="b">
        <v>0</v>
      </c>
      <c r="E16" s="2" t="b">
        <v>0</v>
      </c>
      <c r="F16">
        <v>0</v>
      </c>
    </row>
    <row r="17" spans="1:6" ht="15" customHeight="1" x14ac:dyDescent="0.25">
      <c r="A17" t="s">
        <v>8</v>
      </c>
      <c r="B17">
        <v>4</v>
      </c>
      <c r="C17">
        <v>0.5</v>
      </c>
      <c r="D17" s="2" t="b">
        <v>0</v>
      </c>
      <c r="E17" s="2" t="b">
        <v>1</v>
      </c>
      <c r="F17">
        <v>0.5</v>
      </c>
    </row>
    <row r="18" spans="1:6" ht="15" customHeight="1" x14ac:dyDescent="0.25">
      <c r="A18" t="s">
        <v>9</v>
      </c>
      <c r="B18">
        <v>1</v>
      </c>
      <c r="C18">
        <v>0</v>
      </c>
      <c r="D18" s="2" t="b">
        <v>0</v>
      </c>
      <c r="E18" s="2" t="b">
        <v>0</v>
      </c>
      <c r="F18">
        <v>0</v>
      </c>
    </row>
    <row r="19" spans="1:6" ht="15" customHeight="1" x14ac:dyDescent="0.25">
      <c r="A19" t="s">
        <v>9</v>
      </c>
      <c r="B19">
        <v>2</v>
      </c>
      <c r="C19">
        <v>1</v>
      </c>
      <c r="D19" s="2" t="b">
        <v>1</v>
      </c>
      <c r="E19" s="2" t="b">
        <v>1</v>
      </c>
      <c r="F19">
        <v>0</v>
      </c>
    </row>
    <row r="20" spans="1:6" ht="15" customHeight="1" x14ac:dyDescent="0.25">
      <c r="A20" s="1" t="s">
        <v>9</v>
      </c>
      <c r="B20">
        <v>3</v>
      </c>
      <c r="C20">
        <v>0</v>
      </c>
      <c r="D20" s="2" t="b">
        <v>0</v>
      </c>
      <c r="E20" s="2" t="b">
        <v>0</v>
      </c>
      <c r="F20">
        <v>0</v>
      </c>
    </row>
    <row r="21" spans="1:6" ht="15" customHeight="1" x14ac:dyDescent="0.25">
      <c r="A21" t="s">
        <v>9</v>
      </c>
      <c r="B21">
        <v>4</v>
      </c>
      <c r="C21">
        <v>0.5</v>
      </c>
      <c r="D21" s="2" t="b">
        <v>0</v>
      </c>
      <c r="E21" s="2" t="b">
        <v>1</v>
      </c>
      <c r="F21">
        <v>0.5</v>
      </c>
    </row>
    <row r="22" spans="1:6" ht="15" customHeight="1" x14ac:dyDescent="0.25">
      <c r="A22" t="s">
        <v>10</v>
      </c>
      <c r="B22">
        <v>1</v>
      </c>
      <c r="C22">
        <v>0</v>
      </c>
      <c r="D22" s="2" t="b">
        <v>0</v>
      </c>
      <c r="E22" s="2" t="b">
        <v>0</v>
      </c>
      <c r="F22">
        <v>0</v>
      </c>
    </row>
    <row r="23" spans="1:6" ht="15" customHeight="1" x14ac:dyDescent="0.25">
      <c r="A23" s="1" t="s">
        <v>10</v>
      </c>
      <c r="B23">
        <v>2</v>
      </c>
      <c r="C23">
        <v>0.5</v>
      </c>
      <c r="D23" s="2" t="b">
        <v>0</v>
      </c>
      <c r="E23" s="2" t="b">
        <v>1</v>
      </c>
      <c r="F23">
        <v>0.5</v>
      </c>
    </row>
    <row r="24" spans="1:6" ht="15" customHeight="1" x14ac:dyDescent="0.25">
      <c r="A24" t="s">
        <v>10</v>
      </c>
      <c r="B24">
        <v>3</v>
      </c>
      <c r="C24">
        <v>0</v>
      </c>
      <c r="D24" s="2" t="b">
        <v>0</v>
      </c>
      <c r="E24" s="2" t="b">
        <v>0</v>
      </c>
      <c r="F24">
        <v>0</v>
      </c>
    </row>
    <row r="25" spans="1:6" ht="15" customHeight="1" x14ac:dyDescent="0.25">
      <c r="A25" t="s">
        <v>10</v>
      </c>
      <c r="B25">
        <v>4</v>
      </c>
      <c r="C25">
        <v>0.5</v>
      </c>
      <c r="D25" s="2" t="b">
        <v>0</v>
      </c>
      <c r="E25" s="2" t="b">
        <v>1</v>
      </c>
      <c r="F25">
        <v>0.5</v>
      </c>
    </row>
    <row r="26" spans="1:6" ht="15" customHeight="1" x14ac:dyDescent="0.25">
      <c r="A26" t="s">
        <v>11</v>
      </c>
      <c r="B26">
        <v>1</v>
      </c>
      <c r="C26">
        <v>0</v>
      </c>
      <c r="D26" s="2" t="b">
        <v>0</v>
      </c>
      <c r="E26" s="2" t="b">
        <v>0</v>
      </c>
      <c r="F26">
        <v>0</v>
      </c>
    </row>
    <row r="27" spans="1:6" ht="15" customHeight="1" x14ac:dyDescent="0.25">
      <c r="A27" t="s">
        <v>11</v>
      </c>
      <c r="B27">
        <v>2</v>
      </c>
      <c r="C27">
        <v>1</v>
      </c>
      <c r="D27" s="2" t="b">
        <v>1</v>
      </c>
      <c r="E27" s="2" t="b">
        <v>1</v>
      </c>
      <c r="F27">
        <v>0</v>
      </c>
    </row>
    <row r="28" spans="1:6" ht="15" customHeight="1" x14ac:dyDescent="0.25">
      <c r="A28" s="1" t="s">
        <v>11</v>
      </c>
      <c r="B28">
        <v>3</v>
      </c>
      <c r="C28">
        <v>0</v>
      </c>
      <c r="D28" s="2" t="b">
        <v>0</v>
      </c>
      <c r="E28" s="2" t="b">
        <v>0</v>
      </c>
      <c r="F28">
        <v>0</v>
      </c>
    </row>
    <row r="29" spans="1:6" ht="15" customHeight="1" x14ac:dyDescent="0.25">
      <c r="A29" t="s">
        <v>11</v>
      </c>
      <c r="B29">
        <v>4</v>
      </c>
      <c r="C29">
        <v>0.5</v>
      </c>
      <c r="D29" s="2" t="b">
        <v>0</v>
      </c>
      <c r="E29" s="2" t="b">
        <v>1</v>
      </c>
      <c r="F29">
        <v>0.5</v>
      </c>
    </row>
    <row r="30" spans="1:6" ht="15" customHeight="1" x14ac:dyDescent="0.25">
      <c r="A30" t="s">
        <v>12</v>
      </c>
      <c r="B30">
        <v>1</v>
      </c>
      <c r="C30">
        <v>0</v>
      </c>
      <c r="D30" s="2" t="b">
        <v>0</v>
      </c>
      <c r="E30" s="2" t="b">
        <v>0</v>
      </c>
      <c r="F30">
        <v>0</v>
      </c>
    </row>
    <row r="31" spans="1:6" ht="15" customHeight="1" x14ac:dyDescent="0.25">
      <c r="A31" s="1" t="s">
        <v>12</v>
      </c>
      <c r="B31">
        <v>2</v>
      </c>
      <c r="C31">
        <v>1</v>
      </c>
      <c r="D31" s="2" t="b">
        <v>1</v>
      </c>
      <c r="E31" s="2" t="b">
        <v>1</v>
      </c>
      <c r="F31">
        <v>0</v>
      </c>
    </row>
    <row r="32" spans="1:6" ht="15" customHeight="1" x14ac:dyDescent="0.25">
      <c r="A32" t="s">
        <v>12</v>
      </c>
      <c r="B32">
        <v>3</v>
      </c>
      <c r="C32">
        <v>0</v>
      </c>
      <c r="D32" s="2" t="b">
        <v>0</v>
      </c>
      <c r="E32" s="2" t="b">
        <v>0</v>
      </c>
      <c r="F32">
        <v>0</v>
      </c>
    </row>
    <row r="33" spans="1:11" ht="15" customHeight="1" x14ac:dyDescent="0.25">
      <c r="A33" t="s">
        <v>12</v>
      </c>
      <c r="B33">
        <v>4</v>
      </c>
      <c r="C33">
        <v>0.5</v>
      </c>
      <c r="D33" s="2" t="b">
        <v>0</v>
      </c>
      <c r="E33" s="2" t="b">
        <v>1</v>
      </c>
      <c r="F33">
        <v>0.5</v>
      </c>
    </row>
    <row r="34" spans="1:11" ht="15" customHeight="1" x14ac:dyDescent="0.25">
      <c r="D34" s="2"/>
      <c r="E34" s="2"/>
    </row>
    <row r="35" spans="1:11" ht="15" customHeight="1" x14ac:dyDescent="0.25">
      <c r="A35" s="1"/>
      <c r="D35" s="2"/>
      <c r="E35" s="2"/>
    </row>
    <row r="36" spans="1:11" ht="15" customHeight="1" x14ac:dyDescent="0.25">
      <c r="A36" s="4" t="s">
        <v>21</v>
      </c>
      <c r="D36" s="2"/>
      <c r="E36" s="2"/>
    </row>
    <row r="37" spans="1:11" ht="15" customHeight="1" x14ac:dyDescent="0.25">
      <c r="A37" t="s">
        <v>5</v>
      </c>
      <c r="C37">
        <v>0.625</v>
      </c>
      <c r="D37" s="2" t="b">
        <v>0</v>
      </c>
      <c r="E37" s="2" t="b">
        <v>1</v>
      </c>
      <c r="F37" s="2">
        <v>0.48412291827592713</v>
      </c>
      <c r="G37" s="2"/>
      <c r="H37" s="2"/>
      <c r="I37" s="2"/>
      <c r="J37" s="2"/>
      <c r="K37" s="2"/>
    </row>
    <row r="38" spans="1:11" ht="15" customHeight="1" x14ac:dyDescent="0.25">
      <c r="A38" t="s">
        <v>6</v>
      </c>
      <c r="C38">
        <v>0.5</v>
      </c>
      <c r="D38" s="2" t="b">
        <v>0</v>
      </c>
      <c r="E38" s="2" t="b">
        <v>1</v>
      </c>
      <c r="F38" s="2">
        <v>0.5</v>
      </c>
      <c r="G38" s="2"/>
      <c r="H38" s="2"/>
      <c r="I38" s="2"/>
      <c r="J38" s="2"/>
      <c r="K38" s="2"/>
    </row>
    <row r="39" spans="1:11" ht="15" customHeight="1" x14ac:dyDescent="0.25">
      <c r="A39" s="1" t="s">
        <v>7</v>
      </c>
      <c r="C39">
        <v>0.125</v>
      </c>
      <c r="D39" s="2" t="b">
        <v>0</v>
      </c>
      <c r="E39" s="2" t="b">
        <v>1</v>
      </c>
      <c r="F39" s="2">
        <v>0.33071891388307378</v>
      </c>
      <c r="G39" s="2"/>
      <c r="H39" s="2"/>
      <c r="I39" s="2"/>
      <c r="J39" s="2"/>
      <c r="K39" s="2"/>
    </row>
    <row r="40" spans="1:11" ht="15" customHeight="1" x14ac:dyDescent="0.25">
      <c r="A40" t="s">
        <v>8</v>
      </c>
      <c r="C40">
        <v>0.375</v>
      </c>
      <c r="D40" t="b">
        <v>0</v>
      </c>
      <c r="E40" s="2" t="b">
        <v>1</v>
      </c>
      <c r="F40" s="2">
        <v>0.48412291827592713</v>
      </c>
      <c r="G40" s="2"/>
      <c r="H40" s="2"/>
      <c r="I40" s="2"/>
      <c r="J40" s="2"/>
      <c r="K40" s="2"/>
    </row>
    <row r="41" spans="1:11" ht="15" customHeight="1" x14ac:dyDescent="0.25">
      <c r="A41" t="s">
        <v>9</v>
      </c>
      <c r="C41">
        <v>0.375</v>
      </c>
      <c r="D41" t="b">
        <v>0</v>
      </c>
      <c r="E41" s="2" t="b">
        <v>1</v>
      </c>
      <c r="F41" s="2">
        <v>0.48412291827592713</v>
      </c>
      <c r="G41" s="2"/>
      <c r="H41" s="2"/>
      <c r="I41" s="2"/>
      <c r="J41" s="2"/>
      <c r="K41" s="2"/>
    </row>
    <row r="42" spans="1:11" ht="15" customHeight="1" x14ac:dyDescent="0.25">
      <c r="A42" t="s">
        <v>10</v>
      </c>
      <c r="C42">
        <v>0.25</v>
      </c>
      <c r="D42" t="b">
        <v>0</v>
      </c>
      <c r="E42" s="2" t="b">
        <v>1</v>
      </c>
      <c r="F42" s="2">
        <v>0.4330127018922193</v>
      </c>
      <c r="G42" s="2"/>
      <c r="H42" s="2"/>
      <c r="I42" s="2"/>
      <c r="J42" s="2"/>
      <c r="K42" s="2"/>
    </row>
    <row r="43" spans="1:11" ht="15" customHeight="1" x14ac:dyDescent="0.25">
      <c r="A43" s="1" t="s">
        <v>11</v>
      </c>
      <c r="C43">
        <v>0.375</v>
      </c>
      <c r="D43" t="b">
        <v>0</v>
      </c>
      <c r="E43" s="2" t="b">
        <v>1</v>
      </c>
      <c r="F43" s="2">
        <v>0.48412291827592713</v>
      </c>
      <c r="G43" s="2"/>
      <c r="H43" s="2"/>
      <c r="I43" s="2"/>
      <c r="J43" s="2"/>
      <c r="K43" s="2"/>
    </row>
    <row r="44" spans="1:11" x14ac:dyDescent="0.25">
      <c r="A44" t="s">
        <v>12</v>
      </c>
      <c r="C44">
        <v>0.375</v>
      </c>
      <c r="D44" t="b">
        <v>0</v>
      </c>
      <c r="E44" t="b">
        <v>1</v>
      </c>
      <c r="F44">
        <v>0.48412291827592713</v>
      </c>
    </row>
    <row r="45" spans="1:11" ht="15" customHeight="1" x14ac:dyDescent="0.25">
      <c r="B45" s="2"/>
      <c r="C45" s="2"/>
      <c r="D45" s="2"/>
    </row>
    <row r="46" spans="1:11" ht="15" customHeight="1" x14ac:dyDescent="0.25">
      <c r="B46" s="2"/>
      <c r="C46" s="2"/>
      <c r="D46" s="2"/>
    </row>
    <row r="47" spans="1:11" ht="15" customHeight="1" x14ac:dyDescent="0.25">
      <c r="A47" s="4" t="s">
        <v>22</v>
      </c>
      <c r="B47" s="2"/>
      <c r="C47" s="2"/>
      <c r="D47" s="2"/>
    </row>
    <row r="48" spans="1:11" ht="15" customHeight="1" x14ac:dyDescent="0.25">
      <c r="A48" t="s">
        <v>23</v>
      </c>
      <c r="B48" s="2">
        <v>1</v>
      </c>
      <c r="C48" s="2">
        <v>2</v>
      </c>
      <c r="D48" s="2">
        <v>3</v>
      </c>
      <c r="E48">
        <v>4</v>
      </c>
    </row>
    <row r="49" spans="1:9" ht="15" customHeight="1" x14ac:dyDescent="0.25">
      <c r="A49" t="s">
        <v>5</v>
      </c>
      <c r="B49">
        <v>0</v>
      </c>
      <c r="C49">
        <v>1</v>
      </c>
      <c r="D49">
        <v>0.5</v>
      </c>
      <c r="E49">
        <v>1</v>
      </c>
    </row>
    <row r="50" spans="1:9" ht="15" customHeight="1" x14ac:dyDescent="0.25">
      <c r="A50" t="s">
        <v>6</v>
      </c>
      <c r="B50">
        <v>0</v>
      </c>
      <c r="C50">
        <v>1</v>
      </c>
      <c r="D50">
        <v>0.5</v>
      </c>
      <c r="E50">
        <v>0.5</v>
      </c>
    </row>
    <row r="51" spans="1:9" ht="15" customHeight="1" x14ac:dyDescent="0.25">
      <c r="A51" s="1" t="s">
        <v>7</v>
      </c>
      <c r="B51">
        <v>0</v>
      </c>
      <c r="C51">
        <v>0</v>
      </c>
      <c r="D51">
        <v>0</v>
      </c>
      <c r="E51">
        <v>0.5</v>
      </c>
    </row>
    <row r="52" spans="1:9" ht="15" customHeight="1" x14ac:dyDescent="0.25">
      <c r="A52" t="s">
        <v>8</v>
      </c>
      <c r="B52" s="2">
        <v>0</v>
      </c>
      <c r="C52" s="2">
        <v>1</v>
      </c>
      <c r="D52" s="2">
        <v>0</v>
      </c>
      <c r="E52" s="2">
        <v>0.5</v>
      </c>
    </row>
    <row r="53" spans="1:9" ht="15" customHeight="1" x14ac:dyDescent="0.25">
      <c r="A53" t="s">
        <v>9</v>
      </c>
      <c r="B53">
        <v>0</v>
      </c>
      <c r="C53">
        <v>1</v>
      </c>
      <c r="D53">
        <v>0</v>
      </c>
      <c r="E53">
        <v>0.5</v>
      </c>
    </row>
    <row r="54" spans="1:9" ht="15" customHeight="1" x14ac:dyDescent="0.25">
      <c r="A54" t="s">
        <v>10</v>
      </c>
      <c r="B54">
        <v>0</v>
      </c>
      <c r="C54">
        <v>0.5</v>
      </c>
      <c r="D54">
        <v>0</v>
      </c>
      <c r="E54">
        <v>0.5</v>
      </c>
    </row>
    <row r="55" spans="1:9" ht="15" customHeight="1" x14ac:dyDescent="0.25">
      <c r="A55" t="s">
        <v>11</v>
      </c>
      <c r="B55">
        <v>0</v>
      </c>
      <c r="C55">
        <v>1</v>
      </c>
      <c r="D55">
        <v>0</v>
      </c>
      <c r="E55">
        <v>0.5</v>
      </c>
    </row>
    <row r="56" spans="1:9" ht="15" customHeight="1" x14ac:dyDescent="0.25">
      <c r="A56" t="s">
        <v>12</v>
      </c>
      <c r="B56">
        <v>0</v>
      </c>
      <c r="C56">
        <v>1</v>
      </c>
      <c r="D56">
        <v>0</v>
      </c>
      <c r="E56">
        <v>0.5</v>
      </c>
    </row>
    <row r="57" spans="1:9" ht="15" customHeight="1" x14ac:dyDescent="0.25"/>
    <row r="58" spans="1:9" ht="15" customHeight="1" x14ac:dyDescent="0.25"/>
    <row r="59" spans="1:9" ht="15" customHeight="1" x14ac:dyDescent="0.25">
      <c r="A59" s="4" t="s">
        <v>24</v>
      </c>
    </row>
    <row r="60" spans="1:9" ht="15" customHeight="1" x14ac:dyDescent="0.25">
      <c r="A60" t="s">
        <v>23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ht="15" customHeight="1" x14ac:dyDescent="0.25">
      <c r="A61" t="s">
        <v>5</v>
      </c>
      <c r="B61" t="b">
        <v>0</v>
      </c>
      <c r="C61" t="b">
        <v>0</v>
      </c>
      <c r="D61" t="b">
        <v>1</v>
      </c>
      <c r="E61" t="b">
        <v>1</v>
      </c>
      <c r="F61" t="b">
        <v>0</v>
      </c>
      <c r="G61" t="b">
        <v>1</v>
      </c>
      <c r="H61" t="b">
        <v>1</v>
      </c>
      <c r="I61" t="b">
        <v>1</v>
      </c>
    </row>
    <row r="62" spans="1:9" ht="15" customHeight="1" x14ac:dyDescent="0.25">
      <c r="A62" t="s">
        <v>6</v>
      </c>
      <c r="B62" t="b">
        <v>0</v>
      </c>
      <c r="C62" t="b">
        <v>0</v>
      </c>
      <c r="D62" t="b">
        <v>1</v>
      </c>
      <c r="E62" t="b">
        <v>1</v>
      </c>
      <c r="F62" t="b">
        <v>1</v>
      </c>
      <c r="G62" t="b">
        <v>0</v>
      </c>
      <c r="H62" t="b">
        <v>1</v>
      </c>
      <c r="I62" t="b">
        <v>0</v>
      </c>
    </row>
    <row r="63" spans="1:9" ht="15" customHeight="1" x14ac:dyDescent="0.25">
      <c r="A63" t="s">
        <v>7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1</v>
      </c>
      <c r="I63" t="b">
        <v>0</v>
      </c>
    </row>
    <row r="64" spans="1:9" ht="15" customHeight="1" x14ac:dyDescent="0.25">
      <c r="A64" t="s">
        <v>8</v>
      </c>
      <c r="B64" t="b">
        <v>0</v>
      </c>
      <c r="C64" t="b">
        <v>0</v>
      </c>
      <c r="D64" t="b">
        <v>1</v>
      </c>
      <c r="E64" t="b">
        <v>1</v>
      </c>
      <c r="F64" t="b">
        <v>0</v>
      </c>
      <c r="G64" t="b">
        <v>0</v>
      </c>
      <c r="H64" t="b">
        <v>1</v>
      </c>
      <c r="I64" t="b">
        <v>0</v>
      </c>
    </row>
    <row r="65" spans="1:9" ht="15" customHeight="1" x14ac:dyDescent="0.25">
      <c r="A65" t="s">
        <v>9</v>
      </c>
      <c r="B65" t="b">
        <v>0</v>
      </c>
      <c r="C65" t="b">
        <v>0</v>
      </c>
      <c r="D65" t="b">
        <v>1</v>
      </c>
      <c r="E65" t="b">
        <v>1</v>
      </c>
      <c r="F65" t="b">
        <v>0</v>
      </c>
      <c r="G65" t="b">
        <v>0</v>
      </c>
      <c r="H65" t="b">
        <v>1</v>
      </c>
      <c r="I65" t="b">
        <v>0</v>
      </c>
    </row>
    <row r="66" spans="1:9" ht="15" customHeight="1" x14ac:dyDescent="0.25">
      <c r="A66" t="s">
        <v>10</v>
      </c>
      <c r="B66" t="b">
        <v>0</v>
      </c>
      <c r="C66" t="b">
        <v>0</v>
      </c>
      <c r="D66" t="b">
        <v>0</v>
      </c>
      <c r="E66" t="b">
        <v>1</v>
      </c>
      <c r="F66" t="b">
        <v>0</v>
      </c>
      <c r="G66" t="b">
        <v>0</v>
      </c>
      <c r="H66" t="b">
        <v>1</v>
      </c>
      <c r="I66" t="b">
        <v>0</v>
      </c>
    </row>
    <row r="67" spans="1:9" ht="15" customHeight="1" x14ac:dyDescent="0.25">
      <c r="A67" t="s">
        <v>11</v>
      </c>
      <c r="B67" t="b">
        <v>0</v>
      </c>
      <c r="C67" t="b">
        <v>0</v>
      </c>
      <c r="D67" t="b">
        <v>1</v>
      </c>
      <c r="E67" t="b">
        <v>1</v>
      </c>
      <c r="F67" t="b">
        <v>0</v>
      </c>
      <c r="G67" t="b">
        <v>0</v>
      </c>
      <c r="H67" t="b">
        <v>1</v>
      </c>
      <c r="I67" t="b">
        <v>0</v>
      </c>
    </row>
    <row r="68" spans="1:9" ht="15" customHeight="1" x14ac:dyDescent="0.25">
      <c r="A68" t="s">
        <v>12</v>
      </c>
      <c r="B68" t="b">
        <v>0</v>
      </c>
      <c r="C68" t="b">
        <v>0</v>
      </c>
      <c r="D68" t="b">
        <v>1</v>
      </c>
      <c r="E68" t="b">
        <v>1</v>
      </c>
      <c r="F68" t="b">
        <v>0</v>
      </c>
      <c r="G68" t="b">
        <v>0</v>
      </c>
      <c r="H68" t="b">
        <v>1</v>
      </c>
      <c r="I68" t="b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8"/>
  <sheetViews>
    <sheetView zoomScaleNormal="100" workbookViewId="0">
      <selection activeCell="B15" sqref="B15"/>
    </sheetView>
  </sheetViews>
  <sheetFormatPr defaultColWidth="8.5703125" defaultRowHeight="15" x14ac:dyDescent="0.25"/>
  <cols>
    <col min="1" max="1" width="24" customWidth="1"/>
    <col min="2" max="2" width="19" customWidth="1"/>
    <col min="3" max="6" width="20" customWidth="1"/>
    <col min="7" max="7" width="12" customWidth="1"/>
    <col min="8" max="9" width="13" customWidth="1"/>
    <col min="10" max="21" width="12" customWidth="1"/>
    <col min="22" max="31" width="11" customWidth="1"/>
    <col min="32" max="33" width="12" customWidth="1"/>
    <col min="34" max="34" width="11" customWidth="1"/>
    <col min="35" max="35" width="12" customWidth="1"/>
    <col min="36" max="37" width="11" customWidth="1"/>
    <col min="38" max="38" width="12" customWidth="1"/>
    <col min="39" max="39" width="11" customWidth="1"/>
    <col min="40" max="41" width="12" customWidth="1"/>
    <col min="42" max="61" width="10" customWidth="1"/>
  </cols>
  <sheetData>
    <row r="1" spans="1:6" ht="15" customHeight="1" x14ac:dyDescent="0.2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 x14ac:dyDescent="0.25">
      <c r="A2" t="s">
        <v>5</v>
      </c>
      <c r="B2">
        <v>1</v>
      </c>
      <c r="C2">
        <v>958195.19999999995</v>
      </c>
      <c r="D2">
        <v>952293.9</v>
      </c>
      <c r="E2">
        <v>964096.5</v>
      </c>
      <c r="F2">
        <v>5901.2999999999884</v>
      </c>
    </row>
    <row r="3" spans="1:6" x14ac:dyDescent="0.25">
      <c r="A3" t="s">
        <v>5</v>
      </c>
      <c r="B3">
        <v>2</v>
      </c>
      <c r="C3">
        <v>3041008.1</v>
      </c>
      <c r="D3">
        <v>3021567.5</v>
      </c>
      <c r="E3">
        <v>3060448.7</v>
      </c>
      <c r="F3">
        <v>19440.600000000089</v>
      </c>
    </row>
    <row r="4" spans="1:6" x14ac:dyDescent="0.25">
      <c r="A4" t="s">
        <v>5</v>
      </c>
      <c r="B4">
        <v>3</v>
      </c>
      <c r="C4">
        <v>27440759.100000001</v>
      </c>
      <c r="D4">
        <v>22687712.199999999</v>
      </c>
      <c r="E4">
        <v>32193806</v>
      </c>
      <c r="F4">
        <v>4753046.9000000004</v>
      </c>
    </row>
    <row r="5" spans="1:6" x14ac:dyDescent="0.25">
      <c r="A5" t="s">
        <v>5</v>
      </c>
      <c r="B5">
        <v>4</v>
      </c>
      <c r="C5">
        <v>572707840.89999998</v>
      </c>
      <c r="D5">
        <v>572378303.79999995</v>
      </c>
      <c r="E5">
        <v>573037378</v>
      </c>
      <c r="F5">
        <v>329537.10000002378</v>
      </c>
    </row>
    <row r="6" spans="1:6" x14ac:dyDescent="0.25">
      <c r="A6" t="s">
        <v>6</v>
      </c>
      <c r="B6">
        <v>1</v>
      </c>
      <c r="C6">
        <v>940968.10000000009</v>
      </c>
      <c r="D6">
        <v>930305.4</v>
      </c>
      <c r="E6">
        <v>951630.8</v>
      </c>
      <c r="F6">
        <v>10662.70000000001</v>
      </c>
    </row>
    <row r="7" spans="1:6" x14ac:dyDescent="0.25">
      <c r="A7" t="s">
        <v>6</v>
      </c>
      <c r="B7">
        <v>2</v>
      </c>
      <c r="C7">
        <v>2064781.4</v>
      </c>
      <c r="D7">
        <v>2031694</v>
      </c>
      <c r="E7">
        <v>2097868.7999999998</v>
      </c>
      <c r="F7">
        <v>33087.399999999907</v>
      </c>
    </row>
    <row r="8" spans="1:6" x14ac:dyDescent="0.25">
      <c r="A8" t="s">
        <v>6</v>
      </c>
      <c r="B8">
        <v>3</v>
      </c>
      <c r="C8">
        <v>22631267.100000001</v>
      </c>
      <c r="D8">
        <v>22381833.600000001</v>
      </c>
      <c r="E8">
        <v>22880700.600000001</v>
      </c>
      <c r="F8">
        <v>249433.5</v>
      </c>
    </row>
    <row r="9" spans="1:6" x14ac:dyDescent="0.25">
      <c r="A9" t="s">
        <v>6</v>
      </c>
      <c r="B9">
        <v>4</v>
      </c>
      <c r="C9">
        <v>378949811.30000001</v>
      </c>
      <c r="D9">
        <v>373787199.60000002</v>
      </c>
      <c r="E9">
        <v>384112423</v>
      </c>
      <c r="F9">
        <v>5162611.6999999881</v>
      </c>
    </row>
    <row r="10" spans="1:6" x14ac:dyDescent="0.25">
      <c r="A10" t="s">
        <v>7</v>
      </c>
      <c r="B10">
        <v>1</v>
      </c>
      <c r="C10">
        <v>949050.3</v>
      </c>
      <c r="D10">
        <v>949050.3</v>
      </c>
      <c r="E10">
        <v>949050.3</v>
      </c>
      <c r="F10">
        <v>0</v>
      </c>
    </row>
    <row r="11" spans="1:6" x14ac:dyDescent="0.25">
      <c r="A11" t="s">
        <v>7</v>
      </c>
      <c r="B11">
        <v>2</v>
      </c>
      <c r="C11">
        <v>2087238.6</v>
      </c>
      <c r="D11">
        <v>2087238.6</v>
      </c>
      <c r="E11">
        <v>2087238.6</v>
      </c>
      <c r="F11">
        <v>0</v>
      </c>
    </row>
    <row r="12" spans="1:6" ht="15" customHeight="1" x14ac:dyDescent="0.25">
      <c r="A12" s="1" t="s">
        <v>7</v>
      </c>
      <c r="B12">
        <v>3</v>
      </c>
      <c r="C12">
        <v>22792189.800000001</v>
      </c>
      <c r="D12">
        <v>22792189.800000001</v>
      </c>
      <c r="E12">
        <v>22792189.800000001</v>
      </c>
      <c r="F12">
        <v>0</v>
      </c>
    </row>
    <row r="13" spans="1:6" x14ac:dyDescent="0.25">
      <c r="A13" t="s">
        <v>7</v>
      </c>
      <c r="B13">
        <v>4</v>
      </c>
      <c r="C13">
        <v>385928862</v>
      </c>
      <c r="D13">
        <v>385928862</v>
      </c>
      <c r="E13">
        <v>385928862</v>
      </c>
      <c r="F13">
        <v>0</v>
      </c>
    </row>
    <row r="14" spans="1:6" x14ac:dyDescent="0.25">
      <c r="A14" t="s">
        <v>8</v>
      </c>
      <c r="B14">
        <v>1</v>
      </c>
      <c r="C14">
        <v>947712.2</v>
      </c>
      <c r="D14">
        <v>942687.4</v>
      </c>
      <c r="E14">
        <v>952737</v>
      </c>
      <c r="F14">
        <v>5024.7999999999884</v>
      </c>
    </row>
    <row r="15" spans="1:6" x14ac:dyDescent="0.25">
      <c r="A15" t="s">
        <v>8</v>
      </c>
      <c r="B15">
        <v>2</v>
      </c>
      <c r="C15">
        <v>2085287.1</v>
      </c>
      <c r="D15">
        <v>2075353.5</v>
      </c>
      <c r="E15">
        <v>2095220.7</v>
      </c>
      <c r="F15">
        <v>9933.5999999999767</v>
      </c>
    </row>
    <row r="16" spans="1:6" x14ac:dyDescent="0.25">
      <c r="A16" t="s">
        <v>8</v>
      </c>
      <c r="B16">
        <v>3</v>
      </c>
      <c r="C16">
        <v>22809062.5</v>
      </c>
      <c r="D16">
        <v>22443848.800000001</v>
      </c>
      <c r="E16">
        <v>23174276.199999999</v>
      </c>
      <c r="F16">
        <v>365213.69999999931</v>
      </c>
    </row>
    <row r="17" spans="1:6" x14ac:dyDescent="0.25">
      <c r="A17" t="s">
        <v>8</v>
      </c>
      <c r="B17">
        <v>4</v>
      </c>
      <c r="C17">
        <v>374241757.19999999</v>
      </c>
      <c r="D17">
        <v>370646944.39999998</v>
      </c>
      <c r="E17">
        <v>377836570</v>
      </c>
      <c r="F17">
        <v>3594812.8000000119</v>
      </c>
    </row>
    <row r="18" spans="1:6" x14ac:dyDescent="0.25">
      <c r="A18" t="s">
        <v>9</v>
      </c>
      <c r="B18">
        <v>1</v>
      </c>
      <c r="C18">
        <v>949885.8</v>
      </c>
      <c r="D18">
        <v>945531.6</v>
      </c>
      <c r="E18">
        <v>954240</v>
      </c>
      <c r="F18">
        <v>4354.2000000000116</v>
      </c>
    </row>
    <row r="19" spans="1:6" x14ac:dyDescent="0.25">
      <c r="A19" t="s">
        <v>9</v>
      </c>
      <c r="B19">
        <v>2</v>
      </c>
      <c r="C19">
        <v>2080730.1</v>
      </c>
      <c r="D19">
        <v>2066856.1</v>
      </c>
      <c r="E19">
        <v>2094604.1</v>
      </c>
      <c r="F19">
        <v>13874</v>
      </c>
    </row>
    <row r="20" spans="1:6" ht="15" customHeight="1" x14ac:dyDescent="0.25">
      <c r="A20" s="1" t="s">
        <v>9</v>
      </c>
      <c r="B20">
        <v>3</v>
      </c>
      <c r="C20">
        <v>22727102.100000001</v>
      </c>
      <c r="D20">
        <v>22659578.600000001</v>
      </c>
      <c r="E20">
        <v>22794625.600000001</v>
      </c>
      <c r="F20">
        <v>67523.5</v>
      </c>
    </row>
    <row r="21" spans="1:6" x14ac:dyDescent="0.25">
      <c r="A21" t="s">
        <v>9</v>
      </c>
      <c r="B21">
        <v>4</v>
      </c>
      <c r="C21">
        <v>380551998.30000001</v>
      </c>
      <c r="D21">
        <v>370806389</v>
      </c>
      <c r="E21">
        <v>390297607.60000002</v>
      </c>
      <c r="F21">
        <v>9745609.3000000119</v>
      </c>
    </row>
    <row r="22" spans="1:6" x14ac:dyDescent="0.25">
      <c r="A22" t="s">
        <v>10</v>
      </c>
      <c r="B22">
        <v>1</v>
      </c>
      <c r="C22">
        <v>946574</v>
      </c>
      <c r="D22">
        <v>944822.4</v>
      </c>
      <c r="E22">
        <v>948325.6</v>
      </c>
      <c r="F22">
        <v>1751.5999999999769</v>
      </c>
    </row>
    <row r="23" spans="1:6" ht="15" customHeight="1" x14ac:dyDescent="0.25">
      <c r="A23" s="1" t="s">
        <v>10</v>
      </c>
      <c r="B23">
        <v>2</v>
      </c>
      <c r="C23">
        <v>2066802.65</v>
      </c>
      <c r="D23">
        <v>2059517.6</v>
      </c>
      <c r="E23">
        <v>2074087.7</v>
      </c>
      <c r="F23">
        <v>7285.0499999999302</v>
      </c>
    </row>
    <row r="24" spans="1:6" x14ac:dyDescent="0.25">
      <c r="A24" t="s">
        <v>10</v>
      </c>
      <c r="B24">
        <v>3</v>
      </c>
      <c r="C24">
        <v>22445285.699999999</v>
      </c>
      <c r="D24">
        <v>22250529.800000001</v>
      </c>
      <c r="E24">
        <v>22640041.600000001</v>
      </c>
      <c r="F24">
        <v>194755.9000000004</v>
      </c>
    </row>
    <row r="25" spans="1:6" x14ac:dyDescent="0.25">
      <c r="A25" t="s">
        <v>10</v>
      </c>
      <c r="B25">
        <v>4</v>
      </c>
      <c r="C25">
        <v>390769747.80000001</v>
      </c>
      <c r="D25">
        <v>388291901.19999999</v>
      </c>
      <c r="E25">
        <v>393247594.39999998</v>
      </c>
      <c r="F25">
        <v>2477846.599999994</v>
      </c>
    </row>
    <row r="26" spans="1:6" x14ac:dyDescent="0.25">
      <c r="A26" t="s">
        <v>11</v>
      </c>
      <c r="B26">
        <v>1</v>
      </c>
      <c r="C26">
        <v>943210.25</v>
      </c>
      <c r="D26">
        <v>941016.5</v>
      </c>
      <c r="E26">
        <v>945404</v>
      </c>
      <c r="F26">
        <v>2193.75</v>
      </c>
    </row>
    <row r="27" spans="1:6" x14ac:dyDescent="0.25">
      <c r="A27" t="s">
        <v>11</v>
      </c>
      <c r="B27">
        <v>2</v>
      </c>
      <c r="C27">
        <v>2116194.75</v>
      </c>
      <c r="D27">
        <v>2100454.6</v>
      </c>
      <c r="E27">
        <v>2131934.9</v>
      </c>
      <c r="F27">
        <v>15740.149999999911</v>
      </c>
    </row>
    <row r="28" spans="1:6" ht="15" customHeight="1" x14ac:dyDescent="0.25">
      <c r="A28" s="1" t="s">
        <v>11</v>
      </c>
      <c r="B28">
        <v>3</v>
      </c>
      <c r="C28">
        <v>22606909.5</v>
      </c>
      <c r="D28">
        <v>22163394</v>
      </c>
      <c r="E28">
        <v>23050425</v>
      </c>
      <c r="F28">
        <v>443515.5</v>
      </c>
    </row>
    <row r="29" spans="1:6" x14ac:dyDescent="0.25">
      <c r="A29" t="s">
        <v>11</v>
      </c>
      <c r="B29">
        <v>4</v>
      </c>
      <c r="C29">
        <v>384103672.60000002</v>
      </c>
      <c r="D29">
        <v>380433330.60000002</v>
      </c>
      <c r="E29">
        <v>387774014.60000002</v>
      </c>
      <c r="F29">
        <v>3670342</v>
      </c>
    </row>
    <row r="30" spans="1:6" x14ac:dyDescent="0.25">
      <c r="A30" t="s">
        <v>12</v>
      </c>
      <c r="B30">
        <v>1</v>
      </c>
      <c r="C30">
        <v>951886.05</v>
      </c>
      <c r="D30">
        <v>950839.6</v>
      </c>
      <c r="E30">
        <v>952932.5</v>
      </c>
      <c r="F30">
        <v>1046.4500000000121</v>
      </c>
    </row>
    <row r="31" spans="1:6" ht="15" customHeight="1" x14ac:dyDescent="0.25">
      <c r="A31" s="1" t="s">
        <v>12</v>
      </c>
      <c r="B31">
        <v>2</v>
      </c>
      <c r="C31">
        <v>2078454.2</v>
      </c>
      <c r="D31">
        <v>2071425.3</v>
      </c>
      <c r="E31">
        <v>2085483.1</v>
      </c>
      <c r="F31">
        <v>7028.9000000000233</v>
      </c>
    </row>
    <row r="32" spans="1:6" x14ac:dyDescent="0.25">
      <c r="A32" t="s">
        <v>12</v>
      </c>
      <c r="B32">
        <v>3</v>
      </c>
      <c r="C32">
        <v>22860379.800000001</v>
      </c>
      <c r="D32">
        <v>22634480</v>
      </c>
      <c r="E32">
        <v>23086279.600000001</v>
      </c>
      <c r="F32">
        <v>225899.80000000069</v>
      </c>
    </row>
    <row r="33" spans="1:6" x14ac:dyDescent="0.25">
      <c r="A33" t="s">
        <v>12</v>
      </c>
      <c r="B33">
        <v>4</v>
      </c>
      <c r="C33">
        <v>385788791.39999998</v>
      </c>
      <c r="D33">
        <v>384234885.19999999</v>
      </c>
      <c r="E33">
        <v>387342697.60000002</v>
      </c>
      <c r="F33">
        <v>1553906.2000000181</v>
      </c>
    </row>
    <row r="35" spans="1:6" ht="15" customHeight="1" x14ac:dyDescent="0.25">
      <c r="A35" s="1"/>
    </row>
    <row r="36" spans="1:6" ht="15" customHeight="1" x14ac:dyDescent="0.25">
      <c r="A36" s="4" t="s">
        <v>21</v>
      </c>
    </row>
    <row r="37" spans="1:6" x14ac:dyDescent="0.25">
      <c r="A37" t="s">
        <v>5</v>
      </c>
      <c r="C37">
        <v>151036950.82499999</v>
      </c>
      <c r="D37">
        <v>952293.9</v>
      </c>
      <c r="E37">
        <v>573037378</v>
      </c>
      <c r="F37">
        <v>243686012.40165171</v>
      </c>
    </row>
    <row r="38" spans="1:6" x14ac:dyDescent="0.25">
      <c r="A38" t="s">
        <v>6</v>
      </c>
      <c r="C38">
        <v>101146706.97499999</v>
      </c>
      <c r="D38">
        <v>930305.4</v>
      </c>
      <c r="E38">
        <v>384112423</v>
      </c>
      <c r="F38">
        <v>160642750.48660859</v>
      </c>
    </row>
    <row r="39" spans="1:6" ht="15" customHeight="1" x14ac:dyDescent="0.25">
      <c r="A39" s="1" t="s">
        <v>7</v>
      </c>
      <c r="C39">
        <v>102939335.175</v>
      </c>
      <c r="D39">
        <v>949050.3</v>
      </c>
      <c r="E39">
        <v>385928862</v>
      </c>
      <c r="F39">
        <v>163615250.5092783</v>
      </c>
    </row>
    <row r="40" spans="1:6" x14ac:dyDescent="0.25">
      <c r="A40" t="s">
        <v>8</v>
      </c>
      <c r="C40">
        <v>100020954.75</v>
      </c>
      <c r="D40">
        <v>942687.4</v>
      </c>
      <c r="E40">
        <v>377836570</v>
      </c>
      <c r="F40">
        <v>158570712.4381806</v>
      </c>
    </row>
    <row r="41" spans="1:6" x14ac:dyDescent="0.25">
      <c r="A41" t="s">
        <v>9</v>
      </c>
      <c r="C41">
        <v>101577429.075</v>
      </c>
      <c r="D41">
        <v>945531.6</v>
      </c>
      <c r="E41">
        <v>390297607.60000002</v>
      </c>
      <c r="F41">
        <v>161372752.95284581</v>
      </c>
    </row>
    <row r="42" spans="1:6" x14ac:dyDescent="0.25">
      <c r="A42" t="s">
        <v>10</v>
      </c>
      <c r="C42">
        <v>104057102.53749999</v>
      </c>
      <c r="D42">
        <v>944822.4</v>
      </c>
      <c r="E42">
        <v>393247594.39999998</v>
      </c>
      <c r="F42">
        <v>165759320.76141021</v>
      </c>
    </row>
    <row r="43" spans="1:6" ht="15" customHeight="1" x14ac:dyDescent="0.25">
      <c r="A43" s="1" t="s">
        <v>11</v>
      </c>
      <c r="C43">
        <v>102442496.77500001</v>
      </c>
      <c r="D43">
        <v>941016.5</v>
      </c>
      <c r="E43">
        <v>387774014.60000002</v>
      </c>
      <c r="F43">
        <v>162855671.81919229</v>
      </c>
    </row>
    <row r="44" spans="1:6" x14ac:dyDescent="0.25">
      <c r="A44" t="s">
        <v>12</v>
      </c>
      <c r="C44">
        <v>102919877.8625</v>
      </c>
      <c r="D44">
        <v>950839.6</v>
      </c>
      <c r="E44">
        <v>387342697.60000002</v>
      </c>
      <c r="F44">
        <v>163549132.72634429</v>
      </c>
    </row>
    <row r="47" spans="1:6" ht="15" customHeight="1" x14ac:dyDescent="0.25">
      <c r="A47" s="4" t="s">
        <v>22</v>
      </c>
    </row>
    <row r="48" spans="1:6" x14ac:dyDescent="0.25">
      <c r="A48" t="s">
        <v>23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5</v>
      </c>
      <c r="B49">
        <v>958195.19999999995</v>
      </c>
      <c r="C49">
        <v>3041008.1</v>
      </c>
      <c r="D49">
        <v>27440759.100000001</v>
      </c>
      <c r="E49">
        <v>572707840.89999998</v>
      </c>
    </row>
    <row r="50" spans="1:9" x14ac:dyDescent="0.25">
      <c r="A50" t="s">
        <v>6</v>
      </c>
      <c r="B50">
        <v>940968.10000000009</v>
      </c>
      <c r="C50">
        <v>2064781.4</v>
      </c>
      <c r="D50">
        <v>22631267.100000001</v>
      </c>
      <c r="E50">
        <v>378949811.30000001</v>
      </c>
    </row>
    <row r="51" spans="1:9" ht="15" customHeight="1" x14ac:dyDescent="0.25">
      <c r="A51" s="1" t="s">
        <v>7</v>
      </c>
      <c r="B51">
        <v>949050.3</v>
      </c>
      <c r="C51">
        <v>2087238.6</v>
      </c>
      <c r="D51">
        <v>22792189.800000001</v>
      </c>
      <c r="E51">
        <v>385928862</v>
      </c>
    </row>
    <row r="52" spans="1:9" x14ac:dyDescent="0.25">
      <c r="A52" t="s">
        <v>8</v>
      </c>
      <c r="B52">
        <v>947712.2</v>
      </c>
      <c r="C52">
        <v>2085287.1</v>
      </c>
      <c r="D52">
        <v>22809062.5</v>
      </c>
      <c r="E52">
        <v>374241757.19999999</v>
      </c>
    </row>
    <row r="53" spans="1:9" x14ac:dyDescent="0.25">
      <c r="A53" t="s">
        <v>9</v>
      </c>
      <c r="B53">
        <v>949885.8</v>
      </c>
      <c r="C53">
        <v>2080730.1</v>
      </c>
      <c r="D53">
        <v>22727102.100000001</v>
      </c>
      <c r="E53">
        <v>380551998.30000001</v>
      </c>
    </row>
    <row r="54" spans="1:9" x14ac:dyDescent="0.25">
      <c r="A54" t="s">
        <v>10</v>
      </c>
      <c r="B54">
        <v>946574</v>
      </c>
      <c r="C54">
        <v>2066802.65</v>
      </c>
      <c r="D54">
        <v>22445285.699999999</v>
      </c>
      <c r="E54">
        <v>390769747.80000001</v>
      </c>
    </row>
    <row r="55" spans="1:9" x14ac:dyDescent="0.25">
      <c r="A55" t="s">
        <v>11</v>
      </c>
      <c r="B55">
        <v>943210.25</v>
      </c>
      <c r="C55">
        <v>2116194.75</v>
      </c>
      <c r="D55">
        <v>22606909.5</v>
      </c>
      <c r="E55">
        <v>384103672.60000002</v>
      </c>
    </row>
    <row r="56" spans="1:9" x14ac:dyDescent="0.25">
      <c r="A56" t="s">
        <v>12</v>
      </c>
      <c r="B56">
        <v>951886.05</v>
      </c>
      <c r="C56">
        <v>2078454.2</v>
      </c>
      <c r="D56">
        <v>22860379.800000001</v>
      </c>
      <c r="E56">
        <v>385788791.39999998</v>
      </c>
    </row>
    <row r="59" spans="1:9" ht="15" customHeight="1" x14ac:dyDescent="0.25">
      <c r="A59" s="4" t="s">
        <v>24</v>
      </c>
    </row>
    <row r="60" spans="1:9" x14ac:dyDescent="0.25">
      <c r="A60" t="s">
        <v>23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5</v>
      </c>
      <c r="B61">
        <v>952293.9</v>
      </c>
      <c r="C61">
        <v>964096.5</v>
      </c>
      <c r="D61">
        <v>3060448.7</v>
      </c>
      <c r="E61">
        <v>3021567.5</v>
      </c>
      <c r="F61">
        <v>22687712.199999999</v>
      </c>
      <c r="G61">
        <v>32193806</v>
      </c>
      <c r="H61">
        <v>572378303.79999995</v>
      </c>
      <c r="I61">
        <v>573037378</v>
      </c>
    </row>
    <row r="62" spans="1:9" x14ac:dyDescent="0.25">
      <c r="A62" t="s">
        <v>6</v>
      </c>
      <c r="B62">
        <v>951630.8</v>
      </c>
      <c r="C62">
        <v>930305.4</v>
      </c>
      <c r="D62">
        <v>2097868.7999999998</v>
      </c>
      <c r="E62">
        <v>2031694</v>
      </c>
      <c r="F62">
        <v>22381833.600000001</v>
      </c>
      <c r="G62">
        <v>22880700.600000001</v>
      </c>
      <c r="H62">
        <v>373787199.60000002</v>
      </c>
      <c r="I62">
        <v>384112423</v>
      </c>
    </row>
    <row r="63" spans="1:9" x14ac:dyDescent="0.25">
      <c r="A63" t="s">
        <v>7</v>
      </c>
      <c r="B63">
        <v>949050.3</v>
      </c>
      <c r="C63">
        <v>949050.3</v>
      </c>
      <c r="D63">
        <v>2087238.6</v>
      </c>
      <c r="E63">
        <v>2087238.6</v>
      </c>
      <c r="F63">
        <v>22792189.800000001</v>
      </c>
      <c r="G63">
        <v>22792189.800000001</v>
      </c>
      <c r="H63">
        <v>385928862</v>
      </c>
      <c r="I63">
        <v>385928862</v>
      </c>
    </row>
    <row r="64" spans="1:9" x14ac:dyDescent="0.25">
      <c r="A64" t="s">
        <v>8</v>
      </c>
      <c r="B64">
        <v>952737</v>
      </c>
      <c r="C64">
        <v>942687.4</v>
      </c>
      <c r="D64">
        <v>2075353.5</v>
      </c>
      <c r="E64">
        <v>2095220.7</v>
      </c>
      <c r="F64">
        <v>22443848.800000001</v>
      </c>
      <c r="G64">
        <v>23174276.199999999</v>
      </c>
      <c r="H64">
        <v>370646944.39999998</v>
      </c>
      <c r="I64">
        <v>377836570</v>
      </c>
    </row>
    <row r="65" spans="1:9" x14ac:dyDescent="0.25">
      <c r="A65" t="s">
        <v>9</v>
      </c>
      <c r="B65">
        <v>945531.6</v>
      </c>
      <c r="C65">
        <v>954240</v>
      </c>
      <c r="D65">
        <v>2094604.1</v>
      </c>
      <c r="E65">
        <v>2066856.1</v>
      </c>
      <c r="F65">
        <v>22659578.600000001</v>
      </c>
      <c r="G65">
        <v>22794625.600000001</v>
      </c>
      <c r="H65">
        <v>370806389</v>
      </c>
      <c r="I65">
        <v>390297607.60000002</v>
      </c>
    </row>
    <row r="66" spans="1:9" x14ac:dyDescent="0.25">
      <c r="A66" t="s">
        <v>10</v>
      </c>
      <c r="B66">
        <v>944822.4</v>
      </c>
      <c r="C66">
        <v>948325.6</v>
      </c>
      <c r="D66">
        <v>2074087.7</v>
      </c>
      <c r="E66">
        <v>2059517.6</v>
      </c>
      <c r="F66">
        <v>22250529.800000001</v>
      </c>
      <c r="G66">
        <v>22640041.600000001</v>
      </c>
      <c r="H66">
        <v>388291901.19999999</v>
      </c>
      <c r="I66">
        <v>393247594.39999998</v>
      </c>
    </row>
    <row r="67" spans="1:9" x14ac:dyDescent="0.25">
      <c r="A67" t="s">
        <v>11</v>
      </c>
      <c r="B67">
        <v>941016.5</v>
      </c>
      <c r="C67">
        <v>945404</v>
      </c>
      <c r="D67">
        <v>2100454.6</v>
      </c>
      <c r="E67">
        <v>2131934.9</v>
      </c>
      <c r="F67">
        <v>23050425</v>
      </c>
      <c r="G67">
        <v>22163394</v>
      </c>
      <c r="H67">
        <v>380433330.60000002</v>
      </c>
      <c r="I67">
        <v>387774014.60000002</v>
      </c>
    </row>
    <row r="68" spans="1:9" x14ac:dyDescent="0.25">
      <c r="A68" t="s">
        <v>12</v>
      </c>
      <c r="B68">
        <v>950839.6</v>
      </c>
      <c r="C68">
        <v>952932.5</v>
      </c>
      <c r="D68">
        <v>2085483.1</v>
      </c>
      <c r="E68">
        <v>2071425.3</v>
      </c>
      <c r="F68">
        <v>22634480</v>
      </c>
      <c r="G68">
        <v>23086279.600000001</v>
      </c>
      <c r="H68">
        <v>387342697.60000002</v>
      </c>
      <c r="I68">
        <v>384234885.19999999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15" customWidth="1"/>
    <col min="4" max="5" width="13" customWidth="1"/>
    <col min="6" max="6" width="20" customWidth="1"/>
    <col min="7" max="7" width="12" customWidth="1"/>
    <col min="8" max="9" width="13" customWidth="1"/>
    <col min="10" max="14" width="12" customWidth="1"/>
    <col min="15" max="15" width="9" customWidth="1"/>
    <col min="16" max="61" width="10" customWidth="1"/>
  </cols>
  <sheetData>
    <row r="1" spans="1:6" ht="15" customHeight="1" x14ac:dyDescent="0.2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 x14ac:dyDescent="0.25">
      <c r="A2" t="s">
        <v>5</v>
      </c>
      <c r="B2">
        <v>1</v>
      </c>
      <c r="C2">
        <v>849463</v>
      </c>
      <c r="D2">
        <v>809730</v>
      </c>
      <c r="E2">
        <v>889196</v>
      </c>
      <c r="F2">
        <v>39733</v>
      </c>
    </row>
    <row r="3" spans="1:6" x14ac:dyDescent="0.25">
      <c r="A3" t="s">
        <v>5</v>
      </c>
      <c r="B3">
        <v>2</v>
      </c>
      <c r="C3">
        <v>2933547</v>
      </c>
      <c r="D3">
        <v>2795555</v>
      </c>
      <c r="E3">
        <v>3071539</v>
      </c>
      <c r="F3">
        <v>137992</v>
      </c>
    </row>
    <row r="4" spans="1:6" x14ac:dyDescent="0.25">
      <c r="A4" t="s">
        <v>5</v>
      </c>
      <c r="B4">
        <v>3</v>
      </c>
      <c r="C4">
        <v>30007135.5</v>
      </c>
      <c r="D4">
        <v>21923100</v>
      </c>
      <c r="E4">
        <v>38091171</v>
      </c>
      <c r="F4">
        <v>8084035.5</v>
      </c>
    </row>
    <row r="5" spans="1:6" x14ac:dyDescent="0.25">
      <c r="A5" t="s">
        <v>5</v>
      </c>
      <c r="B5">
        <v>4</v>
      </c>
      <c r="C5">
        <v>616753029</v>
      </c>
      <c r="D5">
        <v>566847241</v>
      </c>
      <c r="E5">
        <v>666658817</v>
      </c>
      <c r="F5">
        <v>49905788</v>
      </c>
    </row>
    <row r="6" spans="1:6" x14ac:dyDescent="0.25">
      <c r="A6" t="s">
        <v>6</v>
      </c>
      <c r="B6">
        <v>1</v>
      </c>
      <c r="C6">
        <v>986723</v>
      </c>
      <c r="D6">
        <v>894183</v>
      </c>
      <c r="E6">
        <v>1079263</v>
      </c>
      <c r="F6">
        <v>92540</v>
      </c>
    </row>
    <row r="7" spans="1:6" x14ac:dyDescent="0.25">
      <c r="A7" t="s">
        <v>6</v>
      </c>
      <c r="B7">
        <v>2</v>
      </c>
      <c r="C7">
        <v>2179245.5</v>
      </c>
      <c r="D7">
        <v>1890727</v>
      </c>
      <c r="E7">
        <v>2467764</v>
      </c>
      <c r="F7">
        <v>288518.5</v>
      </c>
    </row>
    <row r="8" spans="1:6" x14ac:dyDescent="0.25">
      <c r="A8" t="s">
        <v>6</v>
      </c>
      <c r="B8">
        <v>3</v>
      </c>
      <c r="C8">
        <v>23510745</v>
      </c>
      <c r="D8">
        <v>22199300</v>
      </c>
      <c r="E8">
        <v>24822190</v>
      </c>
      <c r="F8">
        <v>1311445</v>
      </c>
    </row>
    <row r="9" spans="1:6" x14ac:dyDescent="0.25">
      <c r="A9" t="s">
        <v>6</v>
      </c>
      <c r="B9">
        <v>4</v>
      </c>
      <c r="C9">
        <v>482503250</v>
      </c>
      <c r="D9">
        <v>420298980</v>
      </c>
      <c r="E9">
        <v>544707520</v>
      </c>
      <c r="F9">
        <v>62204270</v>
      </c>
    </row>
    <row r="10" spans="1:6" x14ac:dyDescent="0.25">
      <c r="A10" t="s">
        <v>7</v>
      </c>
      <c r="B10">
        <v>1</v>
      </c>
      <c r="C10">
        <v>833580</v>
      </c>
      <c r="D10">
        <v>833580</v>
      </c>
      <c r="E10">
        <v>833580</v>
      </c>
      <c r="F10">
        <v>0</v>
      </c>
    </row>
    <row r="11" spans="1:6" x14ac:dyDescent="0.25">
      <c r="A11" t="s">
        <v>7</v>
      </c>
      <c r="B11">
        <v>2</v>
      </c>
      <c r="C11">
        <v>1846608</v>
      </c>
      <c r="D11">
        <v>1846608</v>
      </c>
      <c r="E11">
        <v>1846608</v>
      </c>
      <c r="F11">
        <v>0</v>
      </c>
    </row>
    <row r="12" spans="1:6" ht="15" customHeight="1" x14ac:dyDescent="0.25">
      <c r="A12" s="1" t="s">
        <v>7</v>
      </c>
      <c r="B12">
        <v>3</v>
      </c>
      <c r="C12">
        <v>20340250</v>
      </c>
      <c r="D12">
        <v>20340250</v>
      </c>
      <c r="E12">
        <v>20340250</v>
      </c>
      <c r="F12">
        <v>0</v>
      </c>
    </row>
    <row r="13" spans="1:6" x14ac:dyDescent="0.25">
      <c r="A13" t="s">
        <v>7</v>
      </c>
      <c r="B13">
        <v>4</v>
      </c>
      <c r="C13">
        <v>339295690</v>
      </c>
      <c r="D13">
        <v>339295690</v>
      </c>
      <c r="E13">
        <v>339295690</v>
      </c>
      <c r="F13">
        <v>0</v>
      </c>
    </row>
    <row r="14" spans="1:6" x14ac:dyDescent="0.25">
      <c r="A14" t="s">
        <v>8</v>
      </c>
      <c r="B14">
        <v>1</v>
      </c>
      <c r="C14">
        <v>862764.5</v>
      </c>
      <c r="D14">
        <v>839841</v>
      </c>
      <c r="E14">
        <v>885688</v>
      </c>
      <c r="F14">
        <v>22923.5</v>
      </c>
    </row>
    <row r="15" spans="1:6" x14ac:dyDescent="0.25">
      <c r="A15" t="s">
        <v>8</v>
      </c>
      <c r="B15">
        <v>2</v>
      </c>
      <c r="C15">
        <v>1917790</v>
      </c>
      <c r="D15">
        <v>1812375</v>
      </c>
      <c r="E15">
        <v>2023205</v>
      </c>
      <c r="F15">
        <v>105415</v>
      </c>
    </row>
    <row r="16" spans="1:6" x14ac:dyDescent="0.25">
      <c r="A16" t="s">
        <v>8</v>
      </c>
      <c r="B16">
        <v>3</v>
      </c>
      <c r="C16">
        <v>21075140</v>
      </c>
      <c r="D16">
        <v>19049470</v>
      </c>
      <c r="E16">
        <v>23100810</v>
      </c>
      <c r="F16">
        <v>2025670</v>
      </c>
    </row>
    <row r="17" spans="1:6" x14ac:dyDescent="0.25">
      <c r="A17" t="s">
        <v>8</v>
      </c>
      <c r="B17">
        <v>4</v>
      </c>
      <c r="C17">
        <v>441617345</v>
      </c>
      <c r="D17">
        <v>412785280</v>
      </c>
      <c r="E17">
        <v>470449410</v>
      </c>
      <c r="F17">
        <v>28832065</v>
      </c>
    </row>
    <row r="18" spans="1:6" x14ac:dyDescent="0.25">
      <c r="A18" t="s">
        <v>9</v>
      </c>
      <c r="B18">
        <v>1</v>
      </c>
      <c r="C18">
        <v>845022.5</v>
      </c>
      <c r="D18">
        <v>792598</v>
      </c>
      <c r="E18">
        <v>897447</v>
      </c>
      <c r="F18">
        <v>52424.5</v>
      </c>
    </row>
    <row r="19" spans="1:6" x14ac:dyDescent="0.25">
      <c r="A19" t="s">
        <v>9</v>
      </c>
      <c r="B19">
        <v>2</v>
      </c>
      <c r="C19">
        <v>1845308.5</v>
      </c>
      <c r="D19">
        <v>1775847</v>
      </c>
      <c r="E19">
        <v>1914770</v>
      </c>
      <c r="F19">
        <v>69461.5</v>
      </c>
    </row>
    <row r="20" spans="1:6" ht="15" customHeight="1" x14ac:dyDescent="0.25">
      <c r="A20" s="1" t="s">
        <v>9</v>
      </c>
      <c r="B20">
        <v>3</v>
      </c>
      <c r="C20">
        <v>21503250</v>
      </c>
      <c r="D20">
        <v>21312030</v>
      </c>
      <c r="E20">
        <v>21694470</v>
      </c>
      <c r="F20">
        <v>191220</v>
      </c>
    </row>
    <row r="21" spans="1:6" x14ac:dyDescent="0.25">
      <c r="A21" t="s">
        <v>9</v>
      </c>
      <c r="B21">
        <v>4</v>
      </c>
      <c r="C21">
        <v>383052905</v>
      </c>
      <c r="D21">
        <v>295634120</v>
      </c>
      <c r="E21">
        <v>470471690</v>
      </c>
      <c r="F21">
        <v>87418785</v>
      </c>
    </row>
    <row r="22" spans="1:6" x14ac:dyDescent="0.25">
      <c r="A22" t="s">
        <v>10</v>
      </c>
      <c r="B22">
        <v>1</v>
      </c>
      <c r="C22">
        <v>864036.5</v>
      </c>
      <c r="D22">
        <v>834136</v>
      </c>
      <c r="E22">
        <v>893937</v>
      </c>
      <c r="F22">
        <v>29900.5</v>
      </c>
    </row>
    <row r="23" spans="1:6" ht="15" customHeight="1" x14ac:dyDescent="0.25">
      <c r="A23" s="1" t="s">
        <v>10</v>
      </c>
      <c r="B23">
        <v>2</v>
      </c>
      <c r="C23">
        <v>2045773.5</v>
      </c>
      <c r="D23">
        <v>2001077</v>
      </c>
      <c r="E23">
        <v>2090470</v>
      </c>
      <c r="F23">
        <v>44696.5</v>
      </c>
    </row>
    <row r="24" spans="1:6" x14ac:dyDescent="0.25">
      <c r="A24" t="s">
        <v>10</v>
      </c>
      <c r="B24">
        <v>3</v>
      </c>
      <c r="C24">
        <v>23149430</v>
      </c>
      <c r="D24">
        <v>21453000</v>
      </c>
      <c r="E24">
        <v>24845860</v>
      </c>
      <c r="F24">
        <v>1696430</v>
      </c>
    </row>
    <row r="25" spans="1:6" x14ac:dyDescent="0.25">
      <c r="A25" t="s">
        <v>10</v>
      </c>
      <c r="B25">
        <v>4</v>
      </c>
      <c r="C25">
        <v>334992730</v>
      </c>
      <c r="D25">
        <v>310726160</v>
      </c>
      <c r="E25">
        <v>359259300</v>
      </c>
      <c r="F25">
        <v>24266570</v>
      </c>
    </row>
    <row r="26" spans="1:6" x14ac:dyDescent="0.25">
      <c r="A26" t="s">
        <v>11</v>
      </c>
      <c r="B26">
        <v>1</v>
      </c>
      <c r="C26">
        <v>887948.5</v>
      </c>
      <c r="D26">
        <v>836054</v>
      </c>
      <c r="E26">
        <v>939843</v>
      </c>
      <c r="F26">
        <v>51894.5</v>
      </c>
    </row>
    <row r="27" spans="1:6" x14ac:dyDescent="0.25">
      <c r="A27" t="s">
        <v>11</v>
      </c>
      <c r="B27">
        <v>2</v>
      </c>
      <c r="C27">
        <v>1595939</v>
      </c>
      <c r="D27">
        <v>1534632</v>
      </c>
      <c r="E27">
        <v>1657246</v>
      </c>
      <c r="F27">
        <v>61307</v>
      </c>
    </row>
    <row r="28" spans="1:6" ht="15" customHeight="1" x14ac:dyDescent="0.25">
      <c r="A28" s="1" t="s">
        <v>11</v>
      </c>
      <c r="B28">
        <v>3</v>
      </c>
      <c r="C28">
        <v>22119705</v>
      </c>
      <c r="D28">
        <v>17985440</v>
      </c>
      <c r="E28">
        <v>26253970</v>
      </c>
      <c r="F28">
        <v>4134265</v>
      </c>
    </row>
    <row r="29" spans="1:6" x14ac:dyDescent="0.25">
      <c r="A29" t="s">
        <v>11</v>
      </c>
      <c r="B29">
        <v>4</v>
      </c>
      <c r="C29">
        <v>367041395</v>
      </c>
      <c r="D29">
        <v>347125340</v>
      </c>
      <c r="E29">
        <v>386957450</v>
      </c>
      <c r="F29">
        <v>19916055</v>
      </c>
    </row>
    <row r="30" spans="1:6" x14ac:dyDescent="0.25">
      <c r="A30" t="s">
        <v>12</v>
      </c>
      <c r="B30">
        <v>1</v>
      </c>
      <c r="C30">
        <v>828421.5</v>
      </c>
      <c r="D30">
        <v>827937</v>
      </c>
      <c r="E30">
        <v>828906</v>
      </c>
      <c r="F30">
        <v>484.5</v>
      </c>
    </row>
    <row r="31" spans="1:6" ht="15" customHeight="1" x14ac:dyDescent="0.25">
      <c r="A31" s="1" t="s">
        <v>12</v>
      </c>
      <c r="B31">
        <v>2</v>
      </c>
      <c r="C31">
        <v>2052052.5</v>
      </c>
      <c r="D31">
        <v>2050917</v>
      </c>
      <c r="E31">
        <v>2053188</v>
      </c>
      <c r="F31">
        <v>1135.5</v>
      </c>
    </row>
    <row r="32" spans="1:6" x14ac:dyDescent="0.25">
      <c r="A32" t="s">
        <v>12</v>
      </c>
      <c r="B32">
        <v>3</v>
      </c>
      <c r="C32">
        <v>20504515</v>
      </c>
      <c r="D32">
        <v>19703990</v>
      </c>
      <c r="E32">
        <v>21305040</v>
      </c>
      <c r="F32">
        <v>800525</v>
      </c>
    </row>
    <row r="33" spans="1:6" x14ac:dyDescent="0.25">
      <c r="A33" t="s">
        <v>12</v>
      </c>
      <c r="B33">
        <v>4</v>
      </c>
      <c r="C33">
        <v>340738065</v>
      </c>
      <c r="D33">
        <v>317895480</v>
      </c>
      <c r="E33">
        <v>363580650</v>
      </c>
      <c r="F33">
        <v>22842585</v>
      </c>
    </row>
    <row r="35" spans="1:6" ht="15" customHeight="1" x14ac:dyDescent="0.25">
      <c r="A35" s="1"/>
    </row>
    <row r="36" spans="1:6" ht="15" customHeight="1" x14ac:dyDescent="0.25">
      <c r="A36" s="4" t="s">
        <v>21</v>
      </c>
    </row>
    <row r="37" spans="1:6" x14ac:dyDescent="0.25">
      <c r="A37" t="s">
        <v>5</v>
      </c>
      <c r="C37">
        <v>162635793.625</v>
      </c>
      <c r="D37">
        <v>809730</v>
      </c>
      <c r="E37">
        <v>666658817</v>
      </c>
      <c r="F37">
        <v>263651478.61391509</v>
      </c>
    </row>
    <row r="38" spans="1:6" x14ac:dyDescent="0.25">
      <c r="A38" t="s">
        <v>6</v>
      </c>
      <c r="C38">
        <v>127294990.875</v>
      </c>
      <c r="D38">
        <v>894183</v>
      </c>
      <c r="E38">
        <v>544707520</v>
      </c>
      <c r="F38">
        <v>207619235.75236079</v>
      </c>
    </row>
    <row r="39" spans="1:6" ht="15" customHeight="1" x14ac:dyDescent="0.25">
      <c r="A39" s="1" t="s">
        <v>7</v>
      </c>
      <c r="C39">
        <v>90579032</v>
      </c>
      <c r="D39">
        <v>833580</v>
      </c>
      <c r="E39">
        <v>339295690</v>
      </c>
      <c r="F39">
        <v>143806425.17559201</v>
      </c>
    </row>
    <row r="40" spans="1:6" x14ac:dyDescent="0.25">
      <c r="A40" t="s">
        <v>8</v>
      </c>
      <c r="C40">
        <v>116368259.875</v>
      </c>
      <c r="D40">
        <v>839841</v>
      </c>
      <c r="E40">
        <v>470449410</v>
      </c>
      <c r="F40">
        <v>188509667.21597809</v>
      </c>
    </row>
    <row r="41" spans="1:6" x14ac:dyDescent="0.25">
      <c r="A41" t="s">
        <v>9</v>
      </c>
      <c r="C41">
        <v>101811621.5</v>
      </c>
      <c r="D41">
        <v>792598</v>
      </c>
      <c r="E41">
        <v>470471690</v>
      </c>
      <c r="F41">
        <v>168356541.3307001</v>
      </c>
    </row>
    <row r="42" spans="1:6" x14ac:dyDescent="0.25">
      <c r="A42" t="s">
        <v>10</v>
      </c>
      <c r="C42">
        <v>90262992.5</v>
      </c>
      <c r="D42">
        <v>834136</v>
      </c>
      <c r="E42">
        <v>359259300</v>
      </c>
      <c r="F42">
        <v>142094223.0848698</v>
      </c>
    </row>
    <row r="43" spans="1:6" ht="15" customHeight="1" x14ac:dyDescent="0.25">
      <c r="A43" s="1" t="s">
        <v>11</v>
      </c>
      <c r="C43">
        <v>97911246.875</v>
      </c>
      <c r="D43">
        <v>836054</v>
      </c>
      <c r="E43">
        <v>386957450</v>
      </c>
      <c r="F43">
        <v>155948149.43887219</v>
      </c>
    </row>
    <row r="44" spans="1:6" x14ac:dyDescent="0.25">
      <c r="A44" t="s">
        <v>12</v>
      </c>
      <c r="C44">
        <v>91030763.5</v>
      </c>
      <c r="D44">
        <v>827937</v>
      </c>
      <c r="E44">
        <v>363580650</v>
      </c>
      <c r="F44">
        <v>144830751.39165381</v>
      </c>
    </row>
    <row r="47" spans="1:6" ht="15" customHeight="1" x14ac:dyDescent="0.25">
      <c r="A47" s="4" t="s">
        <v>22</v>
      </c>
    </row>
    <row r="48" spans="1:6" x14ac:dyDescent="0.25">
      <c r="A48" t="s">
        <v>23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5</v>
      </c>
      <c r="B49">
        <v>849463</v>
      </c>
      <c r="C49">
        <v>2933547</v>
      </c>
      <c r="D49">
        <v>30007135.5</v>
      </c>
      <c r="E49">
        <v>616753029</v>
      </c>
    </row>
    <row r="50" spans="1:9" x14ac:dyDescent="0.25">
      <c r="A50" t="s">
        <v>6</v>
      </c>
      <c r="B50">
        <v>986723</v>
      </c>
      <c r="C50">
        <v>2179245.5</v>
      </c>
      <c r="D50">
        <v>23510745</v>
      </c>
      <c r="E50">
        <v>482503250</v>
      </c>
    </row>
    <row r="51" spans="1:9" ht="15" customHeight="1" x14ac:dyDescent="0.25">
      <c r="A51" s="1" t="s">
        <v>7</v>
      </c>
      <c r="B51">
        <v>833580</v>
      </c>
      <c r="C51">
        <v>1846608</v>
      </c>
      <c r="D51">
        <v>20340250</v>
      </c>
      <c r="E51">
        <v>339295690</v>
      </c>
    </row>
    <row r="52" spans="1:9" x14ac:dyDescent="0.25">
      <c r="A52" t="s">
        <v>8</v>
      </c>
      <c r="B52">
        <v>862764.5</v>
      </c>
      <c r="C52">
        <v>1917790</v>
      </c>
      <c r="D52">
        <v>21075140</v>
      </c>
      <c r="E52">
        <v>441617345</v>
      </c>
    </row>
    <row r="53" spans="1:9" x14ac:dyDescent="0.25">
      <c r="A53" t="s">
        <v>9</v>
      </c>
      <c r="B53">
        <v>845022.5</v>
      </c>
      <c r="C53">
        <v>1845308.5</v>
      </c>
      <c r="D53">
        <v>21503250</v>
      </c>
      <c r="E53">
        <v>383052905</v>
      </c>
    </row>
    <row r="54" spans="1:9" x14ac:dyDescent="0.25">
      <c r="A54" t="s">
        <v>10</v>
      </c>
      <c r="B54">
        <v>864036.5</v>
      </c>
      <c r="C54">
        <v>2045773.5</v>
      </c>
      <c r="D54">
        <v>23149430</v>
      </c>
      <c r="E54">
        <v>334992730</v>
      </c>
    </row>
    <row r="55" spans="1:9" x14ac:dyDescent="0.25">
      <c r="A55" t="s">
        <v>11</v>
      </c>
      <c r="B55">
        <v>887948.5</v>
      </c>
      <c r="C55">
        <v>1595939</v>
      </c>
      <c r="D55">
        <v>22119705</v>
      </c>
      <c r="E55">
        <v>367041395</v>
      </c>
    </row>
    <row r="56" spans="1:9" x14ac:dyDescent="0.25">
      <c r="A56" t="s">
        <v>12</v>
      </c>
      <c r="B56">
        <v>828421.5</v>
      </c>
      <c r="C56">
        <v>2052052.5</v>
      </c>
      <c r="D56">
        <v>20504515</v>
      </c>
      <c r="E56">
        <v>340738065</v>
      </c>
    </row>
    <row r="59" spans="1:9" ht="15" customHeight="1" x14ac:dyDescent="0.25">
      <c r="A59" s="4" t="s">
        <v>24</v>
      </c>
    </row>
    <row r="60" spans="1:9" x14ac:dyDescent="0.25">
      <c r="A60" t="s">
        <v>23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5</v>
      </c>
      <c r="B61">
        <v>889196</v>
      </c>
      <c r="C61">
        <v>809730</v>
      </c>
      <c r="D61">
        <v>2795555</v>
      </c>
      <c r="E61">
        <v>3071539</v>
      </c>
      <c r="F61">
        <v>21923100</v>
      </c>
      <c r="G61">
        <v>38091171</v>
      </c>
      <c r="H61">
        <v>666658817</v>
      </c>
      <c r="I61">
        <v>566847241</v>
      </c>
    </row>
    <row r="62" spans="1:9" x14ac:dyDescent="0.25">
      <c r="A62" t="s">
        <v>6</v>
      </c>
      <c r="B62">
        <v>894183</v>
      </c>
      <c r="C62">
        <v>1079263</v>
      </c>
      <c r="D62">
        <v>1890727</v>
      </c>
      <c r="E62">
        <v>2467764</v>
      </c>
      <c r="F62">
        <v>24822190</v>
      </c>
      <c r="G62">
        <v>22199300</v>
      </c>
      <c r="H62">
        <v>544707520</v>
      </c>
      <c r="I62">
        <v>420298980</v>
      </c>
    </row>
    <row r="63" spans="1:9" x14ac:dyDescent="0.25">
      <c r="A63" t="s">
        <v>7</v>
      </c>
      <c r="B63">
        <v>833580</v>
      </c>
      <c r="C63">
        <v>833580</v>
      </c>
      <c r="D63">
        <v>1846608</v>
      </c>
      <c r="E63">
        <v>1846608</v>
      </c>
      <c r="F63">
        <v>20340250</v>
      </c>
      <c r="G63">
        <v>20340250</v>
      </c>
      <c r="H63">
        <v>339295690</v>
      </c>
      <c r="I63">
        <v>339295690</v>
      </c>
    </row>
    <row r="64" spans="1:9" x14ac:dyDescent="0.25">
      <c r="A64" t="s">
        <v>8</v>
      </c>
      <c r="B64">
        <v>839841</v>
      </c>
      <c r="C64">
        <v>885688</v>
      </c>
      <c r="D64">
        <v>2023205</v>
      </c>
      <c r="E64">
        <v>1812375</v>
      </c>
      <c r="F64">
        <v>23100810</v>
      </c>
      <c r="G64">
        <v>19049470</v>
      </c>
      <c r="H64">
        <v>470449410</v>
      </c>
      <c r="I64">
        <v>412785280</v>
      </c>
    </row>
    <row r="65" spans="1:9" x14ac:dyDescent="0.25">
      <c r="A65" t="s">
        <v>9</v>
      </c>
      <c r="B65">
        <v>897447</v>
      </c>
      <c r="C65">
        <v>792598</v>
      </c>
      <c r="D65">
        <v>1775847</v>
      </c>
      <c r="E65">
        <v>1914770</v>
      </c>
      <c r="F65">
        <v>21694470</v>
      </c>
      <c r="G65">
        <v>21312030</v>
      </c>
      <c r="H65">
        <v>470471690</v>
      </c>
      <c r="I65">
        <v>295634120</v>
      </c>
    </row>
    <row r="66" spans="1:9" x14ac:dyDescent="0.25">
      <c r="A66" t="s">
        <v>10</v>
      </c>
      <c r="B66">
        <v>893937</v>
      </c>
      <c r="C66">
        <v>834136</v>
      </c>
      <c r="D66">
        <v>2090470</v>
      </c>
      <c r="E66">
        <v>2001077</v>
      </c>
      <c r="F66">
        <v>24845860</v>
      </c>
      <c r="G66">
        <v>21453000</v>
      </c>
      <c r="H66">
        <v>359259300</v>
      </c>
      <c r="I66">
        <v>310726160</v>
      </c>
    </row>
    <row r="67" spans="1:9" x14ac:dyDescent="0.25">
      <c r="A67" t="s">
        <v>11</v>
      </c>
      <c r="B67">
        <v>939843</v>
      </c>
      <c r="C67">
        <v>836054</v>
      </c>
      <c r="D67">
        <v>1657246</v>
      </c>
      <c r="E67">
        <v>1534632</v>
      </c>
      <c r="F67">
        <v>17985440</v>
      </c>
      <c r="G67">
        <v>26253970</v>
      </c>
      <c r="H67">
        <v>386957450</v>
      </c>
      <c r="I67">
        <v>347125340</v>
      </c>
    </row>
    <row r="68" spans="1:9" x14ac:dyDescent="0.25">
      <c r="A68" t="s">
        <v>12</v>
      </c>
      <c r="B68">
        <v>827937</v>
      </c>
      <c r="C68">
        <v>828906</v>
      </c>
      <c r="D68">
        <v>2053188</v>
      </c>
      <c r="E68">
        <v>2050917</v>
      </c>
      <c r="F68">
        <v>21305040</v>
      </c>
      <c r="G68">
        <v>19703990</v>
      </c>
      <c r="H68">
        <v>317895480</v>
      </c>
      <c r="I68">
        <v>363580650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12"/>
  <sheetViews>
    <sheetView zoomScaleNormal="100" workbookViewId="0">
      <selection activeCell="D16" sqref="A1:XFD1048576"/>
    </sheetView>
  </sheetViews>
  <sheetFormatPr defaultColWidth="8.5703125" defaultRowHeight="15" x14ac:dyDescent="0.25"/>
  <sheetData>
    <row r="1" spans="1:45" ht="15" customHeight="1" x14ac:dyDescent="0.25">
      <c r="A1" s="4" t="s">
        <v>22</v>
      </c>
    </row>
    <row r="2" spans="1:45" ht="15" customHeight="1" x14ac:dyDescent="0.25"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30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30</v>
      </c>
      <c r="X2" t="s">
        <v>29</v>
      </c>
      <c r="Y2" t="s">
        <v>29</v>
      </c>
      <c r="Z2" t="s">
        <v>29</v>
      </c>
      <c r="AA2" t="s">
        <v>29</v>
      </c>
      <c r="AB2" t="s">
        <v>29</v>
      </c>
      <c r="AC2" t="s">
        <v>29</v>
      </c>
      <c r="AD2" t="s">
        <v>29</v>
      </c>
      <c r="AE2" t="s">
        <v>29</v>
      </c>
      <c r="AF2" t="s">
        <v>29</v>
      </c>
      <c r="AG2" t="s">
        <v>29</v>
      </c>
      <c r="AH2" t="s">
        <v>30</v>
      </c>
      <c r="AI2" t="s">
        <v>29</v>
      </c>
      <c r="AJ2" t="s">
        <v>29</v>
      </c>
      <c r="AK2" t="s">
        <v>29</v>
      </c>
      <c r="AL2" t="s">
        <v>29</v>
      </c>
      <c r="AM2" t="s">
        <v>29</v>
      </c>
      <c r="AN2" t="s">
        <v>29</v>
      </c>
      <c r="AO2" t="s">
        <v>29</v>
      </c>
      <c r="AP2" t="s">
        <v>29</v>
      </c>
      <c r="AQ2" t="s">
        <v>29</v>
      </c>
      <c r="AR2" t="s">
        <v>29</v>
      </c>
      <c r="AS2" t="s">
        <v>30</v>
      </c>
    </row>
    <row r="3" spans="1:45" ht="15" customHeight="1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4</v>
      </c>
      <c r="AJ3">
        <v>4</v>
      </c>
      <c r="AK3">
        <v>4</v>
      </c>
      <c r="AL3">
        <v>4</v>
      </c>
      <c r="AM3">
        <v>4</v>
      </c>
      <c r="AN3">
        <v>4</v>
      </c>
      <c r="AO3">
        <v>4</v>
      </c>
      <c r="AP3">
        <v>4</v>
      </c>
      <c r="AQ3">
        <v>4</v>
      </c>
      <c r="AR3">
        <v>4</v>
      </c>
      <c r="AS3">
        <v>4</v>
      </c>
    </row>
    <row r="4" spans="1:45" ht="15" customHeight="1" x14ac:dyDescent="0.25">
      <c r="A4" t="s">
        <v>23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>
        <v>7</v>
      </c>
      <c r="T4">
        <v>8</v>
      </c>
      <c r="U4">
        <v>9</v>
      </c>
      <c r="V4">
        <v>10</v>
      </c>
      <c r="W4">
        <v>11</v>
      </c>
      <c r="X4">
        <v>1</v>
      </c>
      <c r="Y4">
        <v>2</v>
      </c>
      <c r="Z4">
        <v>3</v>
      </c>
      <c r="AA4">
        <v>4</v>
      </c>
      <c r="AB4">
        <v>5</v>
      </c>
      <c r="AC4">
        <v>6</v>
      </c>
      <c r="AD4">
        <v>7</v>
      </c>
      <c r="AE4">
        <v>8</v>
      </c>
      <c r="AF4">
        <v>9</v>
      </c>
      <c r="AG4">
        <v>10</v>
      </c>
      <c r="AH4">
        <v>11</v>
      </c>
      <c r="AI4">
        <v>1</v>
      </c>
      <c r="AJ4">
        <v>2</v>
      </c>
      <c r="AK4">
        <v>3</v>
      </c>
      <c r="AL4">
        <v>4</v>
      </c>
      <c r="AM4">
        <v>5</v>
      </c>
      <c r="AN4">
        <v>6</v>
      </c>
      <c r="AO4">
        <v>7</v>
      </c>
      <c r="AP4">
        <v>8</v>
      </c>
      <c r="AQ4">
        <v>9</v>
      </c>
      <c r="AR4">
        <v>10</v>
      </c>
      <c r="AS4">
        <v>11</v>
      </c>
    </row>
    <row r="5" spans="1:45" ht="15" customHeight="1" x14ac:dyDescent="0.25">
      <c r="A5" t="s">
        <v>5</v>
      </c>
      <c r="B5">
        <v>156872</v>
      </c>
      <c r="C5">
        <v>129125.27272727271</v>
      </c>
      <c r="D5">
        <v>137515.90909090909</v>
      </c>
      <c r="E5">
        <v>132951</v>
      </c>
      <c r="F5">
        <v>151572.54545454541</v>
      </c>
      <c r="G5">
        <v>201162.72727272729</v>
      </c>
      <c r="H5">
        <v>229133.63636363641</v>
      </c>
      <c r="I5">
        <v>193782.72727272729</v>
      </c>
      <c r="J5">
        <v>204274.54545454541</v>
      </c>
      <c r="K5">
        <v>205782.72727272729</v>
      </c>
      <c r="L5">
        <v>154447.81818181821</v>
      </c>
      <c r="M5">
        <v>415365.63636363641</v>
      </c>
      <c r="N5">
        <v>370082.90909090912</v>
      </c>
      <c r="O5">
        <v>438191.54545454553</v>
      </c>
      <c r="P5">
        <v>354043.09090909088</v>
      </c>
      <c r="Q5">
        <v>440743.90909090912</v>
      </c>
      <c r="R5">
        <v>645404.27272727271</v>
      </c>
      <c r="S5">
        <v>582720</v>
      </c>
      <c r="T5">
        <v>712073.36363636365</v>
      </c>
      <c r="U5">
        <v>829458.63636363635</v>
      </c>
      <c r="V5">
        <v>741022.27272727271</v>
      </c>
      <c r="W5">
        <v>533372.18181818177</v>
      </c>
      <c r="X5">
        <v>3920584.7272727271</v>
      </c>
      <c r="Y5">
        <v>3551376.2727272729</v>
      </c>
      <c r="Z5">
        <v>3616273.7272727271</v>
      </c>
      <c r="AA5">
        <v>3794838.8181818179</v>
      </c>
      <c r="AB5">
        <v>3742727.3636363642</v>
      </c>
      <c r="AC5">
        <v>7177439.6363636367</v>
      </c>
      <c r="AD5">
        <v>5146364.7272727285</v>
      </c>
      <c r="AE5">
        <v>6019078.9090909092</v>
      </c>
      <c r="AF5">
        <v>5996538.5454545459</v>
      </c>
      <c r="AG5">
        <v>6927066.5454545459</v>
      </c>
      <c r="AH5">
        <v>5455842.8181818184</v>
      </c>
      <c r="AI5">
        <v>61869759.81818182</v>
      </c>
      <c r="AJ5">
        <v>61852819.727272727</v>
      </c>
      <c r="AK5">
        <v>61709908.545454547</v>
      </c>
      <c r="AL5">
        <v>61811061.545454547</v>
      </c>
      <c r="AM5">
        <v>49669639.727272727</v>
      </c>
      <c r="AN5">
        <v>132330209.5454545</v>
      </c>
      <c r="AO5">
        <v>156893824</v>
      </c>
      <c r="AP5">
        <v>151430745.90909091</v>
      </c>
      <c r="AQ5">
        <v>176845047.4545455</v>
      </c>
      <c r="AR5">
        <v>126873967.1818182</v>
      </c>
      <c r="AS5">
        <v>112136914.3636364</v>
      </c>
    </row>
    <row r="6" spans="1:45" ht="15" customHeight="1" x14ac:dyDescent="0.25">
      <c r="A6" t="s">
        <v>6</v>
      </c>
      <c r="B6">
        <v>141816.72727272729</v>
      </c>
      <c r="C6">
        <v>152100.54545454541</v>
      </c>
      <c r="D6">
        <v>145910.09090909091</v>
      </c>
      <c r="E6">
        <v>145654.72727272729</v>
      </c>
      <c r="F6">
        <v>128288.0909090909</v>
      </c>
      <c r="G6">
        <v>199839.09090909091</v>
      </c>
      <c r="H6">
        <v>208103.63636363641</v>
      </c>
      <c r="I6">
        <v>188530</v>
      </c>
      <c r="J6">
        <v>195875.45454545459</v>
      </c>
      <c r="K6">
        <v>204732.72727272729</v>
      </c>
      <c r="L6">
        <v>179404.18181818179</v>
      </c>
      <c r="M6">
        <v>309543.72727272729</v>
      </c>
      <c r="N6">
        <v>309984.90909090912</v>
      </c>
      <c r="O6">
        <v>336033.72727272729</v>
      </c>
      <c r="P6">
        <v>322683</v>
      </c>
      <c r="Q6">
        <v>325827.63636363641</v>
      </c>
      <c r="R6">
        <v>429966</v>
      </c>
      <c r="S6">
        <v>492121</v>
      </c>
      <c r="T6">
        <v>450293</v>
      </c>
      <c r="U6">
        <v>461739</v>
      </c>
      <c r="V6">
        <v>315956</v>
      </c>
      <c r="W6">
        <v>396226.45454545447</v>
      </c>
      <c r="X6">
        <v>3983987.2727272729</v>
      </c>
      <c r="Y6">
        <v>3406271.8181818179</v>
      </c>
      <c r="Z6">
        <v>3461728.1818181821</v>
      </c>
      <c r="AA6">
        <v>3018760.9090909092</v>
      </c>
      <c r="AB6">
        <v>3145243.6363636358</v>
      </c>
      <c r="AC6">
        <v>5350538.1818181816</v>
      </c>
      <c r="AD6">
        <v>5044026.5454545459</v>
      </c>
      <c r="AE6">
        <v>4239579.2727272715</v>
      </c>
      <c r="AF6">
        <v>4720778.1818181816</v>
      </c>
      <c r="AG6">
        <v>4776844.3636363633</v>
      </c>
      <c r="AH6">
        <v>4274680.9090909092</v>
      </c>
      <c r="AI6">
        <v>36308807.272727273</v>
      </c>
      <c r="AJ6">
        <v>53852871.81818182</v>
      </c>
      <c r="AK6">
        <v>40089210</v>
      </c>
      <c r="AL6">
        <v>57796717.272727273</v>
      </c>
      <c r="AM6">
        <v>45821610.909090906</v>
      </c>
      <c r="AN6">
        <v>76450488</v>
      </c>
      <c r="AO6">
        <v>80487883.63636364</v>
      </c>
      <c r="AP6">
        <v>106901047.6363636</v>
      </c>
      <c r="AQ6">
        <v>95027095.63636364</v>
      </c>
      <c r="AR6">
        <v>96263924.727272734</v>
      </c>
      <c r="AS6">
        <v>87727863.63636364</v>
      </c>
    </row>
    <row r="7" spans="1:45" ht="15" customHeight="1" x14ac:dyDescent="0.25">
      <c r="A7" t="s">
        <v>7</v>
      </c>
      <c r="B7">
        <v>166612.90909090909</v>
      </c>
      <c r="C7">
        <v>165011.63636363641</v>
      </c>
      <c r="D7">
        <v>161470.54545454541</v>
      </c>
      <c r="E7">
        <v>159478.90909090909</v>
      </c>
      <c r="F7">
        <v>154799.27272727271</v>
      </c>
      <c r="G7">
        <v>184270.90909090909</v>
      </c>
      <c r="H7">
        <v>183898.18181818179</v>
      </c>
      <c r="I7">
        <v>183840</v>
      </c>
      <c r="J7">
        <v>183796.36363636359</v>
      </c>
      <c r="K7">
        <v>182367.27272727271</v>
      </c>
      <c r="L7">
        <v>151560</v>
      </c>
      <c r="M7">
        <v>364955.27272727271</v>
      </c>
      <c r="N7">
        <v>353764.72727272729</v>
      </c>
      <c r="O7">
        <v>351464.36363636359</v>
      </c>
      <c r="P7">
        <v>349486.90909090912</v>
      </c>
      <c r="Q7">
        <v>343132</v>
      </c>
      <c r="R7">
        <v>410802</v>
      </c>
      <c r="S7">
        <v>407520</v>
      </c>
      <c r="T7">
        <v>405596</v>
      </c>
      <c r="U7">
        <v>404438</v>
      </c>
      <c r="V7">
        <v>403820</v>
      </c>
      <c r="W7">
        <v>335746.90909090912</v>
      </c>
      <c r="X7">
        <v>3817176.3636363642</v>
      </c>
      <c r="Y7">
        <v>3809432.7272727271</v>
      </c>
      <c r="Z7">
        <v>3801783.6363636358</v>
      </c>
      <c r="AA7">
        <v>3795232.7272727271</v>
      </c>
      <c r="AB7">
        <v>3788154.5454545449</v>
      </c>
      <c r="AC7">
        <v>4533953.4545454541</v>
      </c>
      <c r="AD7">
        <v>4523430.5454545459</v>
      </c>
      <c r="AE7">
        <v>4465944</v>
      </c>
      <c r="AF7">
        <v>4456664.7272727285</v>
      </c>
      <c r="AG7">
        <v>4448572.3636363633</v>
      </c>
      <c r="AH7">
        <v>3698227.2727272729</v>
      </c>
      <c r="AI7">
        <v>66516172.727272727</v>
      </c>
      <c r="AJ7">
        <v>66121127.272727273</v>
      </c>
      <c r="AK7">
        <v>65774049.090909094</v>
      </c>
      <c r="AL7">
        <v>64832541.81818182</v>
      </c>
      <c r="AM7">
        <v>63405840</v>
      </c>
      <c r="AN7">
        <v>75743816.727272734</v>
      </c>
      <c r="AO7">
        <v>75406651.63636364</v>
      </c>
      <c r="AP7">
        <v>75039787.63636364</v>
      </c>
      <c r="AQ7">
        <v>74539003.63636364</v>
      </c>
      <c r="AR7">
        <v>74309849.454545453</v>
      </c>
      <c r="AS7">
        <v>61690125.454545453</v>
      </c>
    </row>
    <row r="8" spans="1:45" ht="15" customHeight="1" x14ac:dyDescent="0.25">
      <c r="A8" t="s">
        <v>8</v>
      </c>
      <c r="B8">
        <v>170991.18181818179</v>
      </c>
      <c r="C8">
        <v>143069.81818181821</v>
      </c>
      <c r="D8">
        <v>155451.27272727271</v>
      </c>
      <c r="E8">
        <v>156441.90909090909</v>
      </c>
      <c r="F8">
        <v>161745.27272727271</v>
      </c>
      <c r="G8">
        <v>169217.27272727271</v>
      </c>
      <c r="H8">
        <v>196985.45454545459</v>
      </c>
      <c r="I8">
        <v>192785.45454545459</v>
      </c>
      <c r="J8">
        <v>196452.72727272729</v>
      </c>
      <c r="K8">
        <v>179972.72727272729</v>
      </c>
      <c r="L8">
        <v>156866.27272727271</v>
      </c>
      <c r="M8">
        <v>365347.72727272729</v>
      </c>
      <c r="N8">
        <v>368190.63636363641</v>
      </c>
      <c r="O8">
        <v>309009.45454545447</v>
      </c>
      <c r="P8">
        <v>350971.27272727271</v>
      </c>
      <c r="Q8">
        <v>309367</v>
      </c>
      <c r="R8">
        <v>440371</v>
      </c>
      <c r="S8">
        <v>455113</v>
      </c>
      <c r="T8">
        <v>322319</v>
      </c>
      <c r="U8">
        <v>439500</v>
      </c>
      <c r="V8">
        <v>431242</v>
      </c>
      <c r="W8">
        <v>348689.09090909088</v>
      </c>
      <c r="X8">
        <v>3394148.1818181821</v>
      </c>
      <c r="Y8">
        <v>3510704.5454545449</v>
      </c>
      <c r="Z8">
        <v>3129921.8181818179</v>
      </c>
      <c r="AA8">
        <v>3883532.7272727271</v>
      </c>
      <c r="AB8">
        <v>4138386.3636363642</v>
      </c>
      <c r="AC8">
        <v>4836269.4545454541</v>
      </c>
      <c r="AD8">
        <v>4344368.7272727285</v>
      </c>
      <c r="AE8">
        <v>4783556.7272727285</v>
      </c>
      <c r="AF8">
        <v>4215144</v>
      </c>
      <c r="AG8">
        <v>5234990.1818181816</v>
      </c>
      <c r="AH8">
        <v>3831843.6363636358</v>
      </c>
      <c r="AI8">
        <v>62608025.454545453</v>
      </c>
      <c r="AJ8">
        <v>68024142.727272734</v>
      </c>
      <c r="AK8">
        <v>58766350.909090906</v>
      </c>
      <c r="AL8">
        <v>60922834.545454547</v>
      </c>
      <c r="AM8">
        <v>70951160.909090906</v>
      </c>
      <c r="AN8">
        <v>53541162.545454547</v>
      </c>
      <c r="AO8">
        <v>66752102.18181818</v>
      </c>
      <c r="AP8">
        <v>83961363.272727266</v>
      </c>
      <c r="AQ8">
        <v>91831173.818181813</v>
      </c>
      <c r="AR8">
        <v>63081242.18181818</v>
      </c>
      <c r="AS8">
        <v>80294062.727272734</v>
      </c>
    </row>
    <row r="9" spans="1:45" ht="15" customHeight="1" x14ac:dyDescent="0.25">
      <c r="A9" t="s">
        <v>9</v>
      </c>
      <c r="B9">
        <v>177807.90909090909</v>
      </c>
      <c r="C9">
        <v>164829.54545454541</v>
      </c>
      <c r="D9">
        <v>156461.45454545459</v>
      </c>
      <c r="E9">
        <v>144937.90909090909</v>
      </c>
      <c r="F9">
        <v>143248.27272727271</v>
      </c>
      <c r="G9">
        <v>167056.36363636359</v>
      </c>
      <c r="H9">
        <v>192357.27272727271</v>
      </c>
      <c r="I9">
        <v>191907.27272727271</v>
      </c>
      <c r="J9">
        <v>205542.72727272729</v>
      </c>
      <c r="K9">
        <v>182916.36363636359</v>
      </c>
      <c r="L9">
        <v>153640.45454545459</v>
      </c>
      <c r="M9">
        <v>323164.45454545447</v>
      </c>
      <c r="N9">
        <v>364763.72727272729</v>
      </c>
      <c r="O9">
        <v>385813.27272727271</v>
      </c>
      <c r="P9">
        <v>397760.81818181818</v>
      </c>
      <c r="Q9">
        <v>351893.36363636359</v>
      </c>
      <c r="R9">
        <v>352656</v>
      </c>
      <c r="S9">
        <v>402920</v>
      </c>
      <c r="T9">
        <v>407410</v>
      </c>
      <c r="U9">
        <v>387555</v>
      </c>
      <c r="V9">
        <v>409209</v>
      </c>
      <c r="W9">
        <v>335510.63636363641</v>
      </c>
      <c r="X9">
        <v>3110959.0909090908</v>
      </c>
      <c r="Y9">
        <v>3330006.3636363642</v>
      </c>
      <c r="Z9">
        <v>3923938.1818181821</v>
      </c>
      <c r="AA9">
        <v>3713644.5454545449</v>
      </c>
      <c r="AB9">
        <v>4256210.9090909092</v>
      </c>
      <c r="AC9">
        <v>5404972.3636363633</v>
      </c>
      <c r="AD9">
        <v>4898569.0909090908</v>
      </c>
      <c r="AE9">
        <v>4686437.4545454541</v>
      </c>
      <c r="AF9">
        <v>4075939.6363636358</v>
      </c>
      <c r="AG9">
        <v>3921326.1818181821</v>
      </c>
      <c r="AH9">
        <v>3909681.8181818179</v>
      </c>
      <c r="AI9">
        <v>63560924.545454547</v>
      </c>
      <c r="AJ9">
        <v>67349059.090909094</v>
      </c>
      <c r="AK9">
        <v>69886235.454545453</v>
      </c>
      <c r="AL9">
        <v>65820573.636363633</v>
      </c>
      <c r="AM9">
        <v>61178373.636363633</v>
      </c>
      <c r="AN9">
        <v>72045187.63636364</v>
      </c>
      <c r="AO9">
        <v>72905968.36363636</v>
      </c>
      <c r="AP9">
        <v>79163182.909090906</v>
      </c>
      <c r="AQ9">
        <v>72271136.727272734</v>
      </c>
      <c r="AR9">
        <v>67732082.181818187</v>
      </c>
      <c r="AS9">
        <v>69645982.727272734</v>
      </c>
    </row>
    <row r="10" spans="1:45" ht="15" customHeight="1" x14ac:dyDescent="0.25">
      <c r="A10" t="s">
        <v>10</v>
      </c>
      <c r="B10">
        <v>169295.72727272729</v>
      </c>
      <c r="C10">
        <v>147847.54545454541</v>
      </c>
      <c r="D10">
        <v>156866.18181818179</v>
      </c>
      <c r="E10">
        <v>170005.54545454541</v>
      </c>
      <c r="F10">
        <v>152644.09090909091</v>
      </c>
      <c r="G10">
        <v>167230.90909090909</v>
      </c>
      <c r="H10">
        <v>173906.36363636359</v>
      </c>
      <c r="I10">
        <v>205784.54545454541</v>
      </c>
      <c r="J10">
        <v>203320</v>
      </c>
      <c r="K10">
        <v>174142.72727272729</v>
      </c>
      <c r="L10">
        <v>157097.54545454541</v>
      </c>
      <c r="M10">
        <v>350023.72727272729</v>
      </c>
      <c r="N10">
        <v>321356.90909090912</v>
      </c>
      <c r="O10">
        <v>373536.36363636359</v>
      </c>
      <c r="P10">
        <v>342948.90909090912</v>
      </c>
      <c r="Q10">
        <v>343454.09090909088</v>
      </c>
      <c r="R10">
        <v>504045</v>
      </c>
      <c r="S10">
        <v>359618</v>
      </c>
      <c r="T10">
        <v>397661</v>
      </c>
      <c r="U10">
        <v>382215</v>
      </c>
      <c r="V10">
        <v>382964</v>
      </c>
      <c r="W10">
        <v>371958.81818181818</v>
      </c>
      <c r="X10">
        <v>3575252.7272727271</v>
      </c>
      <c r="Y10">
        <v>4112478.1818181821</v>
      </c>
      <c r="Z10">
        <v>3739392.7272727271</v>
      </c>
      <c r="AA10">
        <v>3897393.6363636358</v>
      </c>
      <c r="AB10">
        <v>3776376.3636363642</v>
      </c>
      <c r="AC10">
        <v>4688200.3636363633</v>
      </c>
      <c r="AD10">
        <v>4304895.2727272715</v>
      </c>
      <c r="AE10">
        <v>4146490.9090909092</v>
      </c>
      <c r="AF10">
        <v>4210314.5454545459</v>
      </c>
      <c r="AG10">
        <v>4358815.6363636367</v>
      </c>
      <c r="AH10">
        <v>4208987.2727272715</v>
      </c>
      <c r="AI10">
        <v>50898744.545454547</v>
      </c>
      <c r="AJ10">
        <v>52204155.454545453</v>
      </c>
      <c r="AK10">
        <v>51149882.727272727</v>
      </c>
      <c r="AL10">
        <v>57837737.272727273</v>
      </c>
      <c r="AM10">
        <v>75245296.36363636</v>
      </c>
      <c r="AN10">
        <v>92766667.63636364</v>
      </c>
      <c r="AO10">
        <v>85675251.272727266</v>
      </c>
      <c r="AP10">
        <v>78810854.181818187</v>
      </c>
      <c r="AQ10">
        <v>94403982.545454547</v>
      </c>
      <c r="AR10">
        <v>71497878.545454547</v>
      </c>
      <c r="AS10">
        <v>60907769.090909094</v>
      </c>
    </row>
    <row r="11" spans="1:45" ht="15" customHeight="1" x14ac:dyDescent="0.25">
      <c r="A11" t="s">
        <v>11</v>
      </c>
      <c r="B11">
        <v>156378.54545454541</v>
      </c>
      <c r="C11">
        <v>159185.09090909091</v>
      </c>
      <c r="D11">
        <v>169227.90909090909</v>
      </c>
      <c r="E11">
        <v>152460.63636363641</v>
      </c>
      <c r="F11">
        <v>163894.63636363641</v>
      </c>
      <c r="G11">
        <v>169457.27272727271</v>
      </c>
      <c r="H11">
        <v>182894.54545454541</v>
      </c>
      <c r="I11">
        <v>179810</v>
      </c>
      <c r="J11">
        <v>188357.27272727271</v>
      </c>
      <c r="K11">
        <v>193261.81818181821</v>
      </c>
      <c r="L11">
        <v>161445.18181818179</v>
      </c>
      <c r="M11">
        <v>415914</v>
      </c>
      <c r="N11">
        <v>343820.54545454553</v>
      </c>
      <c r="O11">
        <v>346412.09090909088</v>
      </c>
      <c r="P11">
        <v>373873</v>
      </c>
      <c r="Q11">
        <v>293004.18181818182</v>
      </c>
      <c r="R11">
        <v>432289</v>
      </c>
      <c r="S11">
        <v>429904</v>
      </c>
      <c r="T11">
        <v>427346</v>
      </c>
      <c r="U11">
        <v>396132</v>
      </c>
      <c r="V11">
        <v>388932</v>
      </c>
      <c r="W11">
        <v>290170.72727272729</v>
      </c>
      <c r="X11">
        <v>4212681.8181818184</v>
      </c>
      <c r="Y11">
        <v>3599506.3636363642</v>
      </c>
      <c r="Z11">
        <v>3274336.3636363642</v>
      </c>
      <c r="AA11">
        <v>4138226.3636363642</v>
      </c>
      <c r="AB11">
        <v>3530171.8181818179</v>
      </c>
      <c r="AC11">
        <v>5045262.5454545459</v>
      </c>
      <c r="AD11">
        <v>4350740.7272727285</v>
      </c>
      <c r="AE11">
        <v>4182547.6363636358</v>
      </c>
      <c r="AF11">
        <v>4329339.2727272715</v>
      </c>
      <c r="AG11">
        <v>4440658.9090909092</v>
      </c>
      <c r="AH11">
        <v>4021764.5454545449</v>
      </c>
      <c r="AI11">
        <v>70642445.454545453</v>
      </c>
      <c r="AJ11">
        <v>55417118.18181818</v>
      </c>
      <c r="AK11">
        <v>70769510</v>
      </c>
      <c r="AL11">
        <v>65524732.727272727</v>
      </c>
      <c r="AM11">
        <v>50620513.636363633</v>
      </c>
      <c r="AN11">
        <v>85696904.727272734</v>
      </c>
      <c r="AO11">
        <v>65884983.272727273</v>
      </c>
      <c r="AP11">
        <v>74475860.727272734</v>
      </c>
      <c r="AQ11">
        <v>83342950.909090906</v>
      </c>
      <c r="AR11">
        <v>75995294.181818187</v>
      </c>
      <c r="AS11">
        <v>66734799.090909094</v>
      </c>
    </row>
    <row r="12" spans="1:45" ht="15" customHeight="1" x14ac:dyDescent="0.25">
      <c r="A12" t="s">
        <v>12</v>
      </c>
      <c r="B12">
        <v>154173.90909090909</v>
      </c>
      <c r="C12">
        <v>155216.81818181821</v>
      </c>
      <c r="D12">
        <v>158709.54545454541</v>
      </c>
      <c r="E12">
        <v>156964</v>
      </c>
      <c r="F12">
        <v>162154</v>
      </c>
      <c r="G12">
        <v>169910.90909090909</v>
      </c>
      <c r="H12">
        <v>167977.27272727271</v>
      </c>
      <c r="I12">
        <v>218521.81818181821</v>
      </c>
      <c r="J12">
        <v>189592.72727272729</v>
      </c>
      <c r="K12">
        <v>197480.90909090909</v>
      </c>
      <c r="L12">
        <v>150622.09090909091</v>
      </c>
      <c r="M12">
        <v>310877.54545454553</v>
      </c>
      <c r="N12">
        <v>335446.45454545447</v>
      </c>
      <c r="O12">
        <v>356809.09090909088</v>
      </c>
      <c r="P12">
        <v>301762</v>
      </c>
      <c r="Q12">
        <v>313633.54545454553</v>
      </c>
      <c r="R12">
        <v>440100</v>
      </c>
      <c r="S12">
        <v>426086</v>
      </c>
      <c r="T12">
        <v>432685</v>
      </c>
      <c r="U12">
        <v>392673</v>
      </c>
      <c r="V12">
        <v>468935</v>
      </c>
      <c r="W12">
        <v>373100.45454545447</v>
      </c>
      <c r="X12">
        <v>2893181.8181818179</v>
      </c>
      <c r="Y12">
        <v>3876932.7272727271</v>
      </c>
      <c r="Z12">
        <v>4225408.1818181816</v>
      </c>
      <c r="AA12">
        <v>3392945.4545454551</v>
      </c>
      <c r="AB12">
        <v>3824204.5454545449</v>
      </c>
      <c r="AC12">
        <v>4483080</v>
      </c>
      <c r="AD12">
        <v>4168939.6363636358</v>
      </c>
      <c r="AE12">
        <v>4446842.1818181816</v>
      </c>
      <c r="AF12">
        <v>5056096.3636363633</v>
      </c>
      <c r="AG12">
        <v>5196696</v>
      </c>
      <c r="AH12">
        <v>3728093.6363636358</v>
      </c>
      <c r="AI12">
        <v>63726164.545454547</v>
      </c>
      <c r="AJ12">
        <v>62550473.636363633</v>
      </c>
      <c r="AK12">
        <v>67059716.363636367</v>
      </c>
      <c r="AL12">
        <v>62390146.363636367</v>
      </c>
      <c r="AM12">
        <v>70623099.090909094</v>
      </c>
      <c r="AN12">
        <v>69424729.090909094</v>
      </c>
      <c r="AO12">
        <v>75952492.36363636</v>
      </c>
      <c r="AP12">
        <v>53919627.272727273</v>
      </c>
      <c r="AQ12">
        <v>98907353.454545453</v>
      </c>
      <c r="AR12">
        <v>76880364</v>
      </c>
      <c r="AS12">
        <v>61952375.454545453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EB8B-8E15-4861-92F1-A54AF05187ED}">
  <dimension ref="A1:J66"/>
  <sheetViews>
    <sheetView topLeftCell="A31" workbookViewId="0">
      <selection activeCell="J62" sqref="J62"/>
    </sheetView>
  </sheetViews>
  <sheetFormatPr defaultRowHeight="15" x14ac:dyDescent="0.25"/>
  <sheetData>
    <row r="1" spans="1:6" x14ac:dyDescent="0.25">
      <c r="A1" t="s">
        <v>31</v>
      </c>
    </row>
    <row r="3" spans="1:6" x14ac:dyDescent="0.25">
      <c r="A3" t="s">
        <v>32</v>
      </c>
      <c r="B3" t="s">
        <v>25</v>
      </c>
      <c r="C3" t="s">
        <v>26</v>
      </c>
      <c r="D3" t="s">
        <v>27</v>
      </c>
      <c r="E3" t="s">
        <v>28</v>
      </c>
      <c r="F3" t="s">
        <v>33</v>
      </c>
    </row>
    <row r="4" spans="1:6" ht="15.75" thickBot="1" x14ac:dyDescent="0.3">
      <c r="A4" s="8" t="s">
        <v>5</v>
      </c>
      <c r="B4" s="8"/>
      <c r="C4" s="8"/>
      <c r="D4" s="8"/>
      <c r="E4" s="8"/>
      <c r="F4" s="8"/>
    </row>
    <row r="5" spans="1:6" x14ac:dyDescent="0.25">
      <c r="A5" s="7" t="s">
        <v>34</v>
      </c>
      <c r="B5" s="7">
        <v>2</v>
      </c>
      <c r="C5" s="7">
        <v>2</v>
      </c>
      <c r="D5" s="7">
        <v>2</v>
      </c>
      <c r="E5" s="7">
        <v>2</v>
      </c>
      <c r="F5" s="7">
        <v>8</v>
      </c>
    </row>
    <row r="6" spans="1:6" x14ac:dyDescent="0.25">
      <c r="A6" s="7" t="s">
        <v>35</v>
      </c>
      <c r="B6" s="7">
        <v>256292.70329670329</v>
      </c>
      <c r="C6" s="7">
        <v>332007.24275724281</v>
      </c>
      <c r="D6" s="7">
        <v>3708821.057942058</v>
      </c>
      <c r="E6" s="7">
        <v>55806990.697394788</v>
      </c>
      <c r="F6" s="7">
        <v>60104111.701390795</v>
      </c>
    </row>
    <row r="7" spans="1:6" x14ac:dyDescent="0.25">
      <c r="A7" s="7" t="s">
        <v>17</v>
      </c>
      <c r="B7" s="7">
        <v>128146.35164835164</v>
      </c>
      <c r="C7" s="7">
        <v>166003.62137862141</v>
      </c>
      <c r="D7" s="7">
        <v>1854410.528971029</v>
      </c>
      <c r="E7" s="7">
        <v>27903495.348697394</v>
      </c>
      <c r="F7" s="7">
        <v>7513013.9626738494</v>
      </c>
    </row>
    <row r="8" spans="1:6" x14ac:dyDescent="0.25">
      <c r="A8" s="7" t="s">
        <v>36</v>
      </c>
      <c r="B8" s="7">
        <v>18303994.058895867</v>
      </c>
      <c r="C8" s="7">
        <v>4440134.5057359366</v>
      </c>
      <c r="D8" s="7">
        <v>56490627681.083466</v>
      </c>
      <c r="E8" s="7">
        <v>187561524039.66806</v>
      </c>
      <c r="F8" s="7">
        <v>158979540574023.75</v>
      </c>
    </row>
    <row r="9" spans="1:6" x14ac:dyDescent="0.25">
      <c r="A9" s="7"/>
      <c r="B9" s="7"/>
      <c r="C9" s="7"/>
      <c r="D9" s="7"/>
      <c r="E9" s="7"/>
      <c r="F9" s="7"/>
    </row>
    <row r="10" spans="1:6" ht="15.75" thickBot="1" x14ac:dyDescent="0.3">
      <c r="A10" s="8" t="s">
        <v>6</v>
      </c>
      <c r="B10" s="8"/>
      <c r="C10" s="8"/>
      <c r="D10" s="8"/>
      <c r="E10" s="8"/>
      <c r="F10" s="8"/>
    </row>
    <row r="11" spans="1:6" x14ac:dyDescent="0.25">
      <c r="A11" s="7" t="s">
        <v>34</v>
      </c>
      <c r="B11" s="7">
        <v>2</v>
      </c>
      <c r="C11" s="7">
        <v>2</v>
      </c>
      <c r="D11" s="7">
        <v>2</v>
      </c>
      <c r="E11" s="7">
        <v>2</v>
      </c>
      <c r="F11" s="7">
        <v>8</v>
      </c>
    </row>
    <row r="12" spans="1:6" x14ac:dyDescent="0.25">
      <c r="A12" s="7" t="s">
        <v>35</v>
      </c>
      <c r="B12" s="7">
        <v>257819.58441558451</v>
      </c>
      <c r="C12" s="7">
        <v>286002.07592407602</v>
      </c>
      <c r="D12" s="7">
        <v>3277259.127872128</v>
      </c>
      <c r="E12" s="7">
        <v>39704585.02605211</v>
      </c>
      <c r="F12" s="7">
        <v>43525665.814263895</v>
      </c>
    </row>
    <row r="13" spans="1:6" x14ac:dyDescent="0.25">
      <c r="A13" s="7" t="s">
        <v>17</v>
      </c>
      <c r="B13" s="7">
        <v>128909.79220779226</v>
      </c>
      <c r="C13" s="7">
        <v>143001.03796203801</v>
      </c>
      <c r="D13" s="7">
        <v>1638629.563936064</v>
      </c>
      <c r="E13" s="7">
        <v>19852292.513026055</v>
      </c>
      <c r="F13" s="7">
        <v>5440708.2267829869</v>
      </c>
    </row>
    <row r="14" spans="1:6" x14ac:dyDescent="0.25">
      <c r="A14" s="7" t="s">
        <v>36</v>
      </c>
      <c r="B14" s="7">
        <v>4092377.5488467617</v>
      </c>
      <c r="C14" s="7">
        <v>3410249.195559714</v>
      </c>
      <c r="D14" s="7">
        <v>3001001287.1764493</v>
      </c>
      <c r="E14" s="7">
        <v>2727536085892.103</v>
      </c>
      <c r="F14" s="7">
        <v>79941640045973.609</v>
      </c>
    </row>
    <row r="15" spans="1:6" x14ac:dyDescent="0.25">
      <c r="A15" s="7"/>
      <c r="B15" s="7"/>
      <c r="C15" s="7"/>
      <c r="D15" s="7"/>
      <c r="E15" s="7"/>
      <c r="F15" s="7"/>
    </row>
    <row r="16" spans="1:6" ht="15.75" thickBot="1" x14ac:dyDescent="0.3">
      <c r="A16" s="8" t="s">
        <v>7</v>
      </c>
      <c r="B16" s="8"/>
      <c r="C16" s="8"/>
      <c r="D16" s="8"/>
      <c r="E16" s="8"/>
      <c r="F16" s="8"/>
    </row>
    <row r="17" spans="1:6" x14ac:dyDescent="0.25">
      <c r="A17" s="7" t="s">
        <v>34</v>
      </c>
      <c r="B17" s="7">
        <v>2</v>
      </c>
      <c r="C17" s="7">
        <v>2</v>
      </c>
      <c r="D17" s="7">
        <v>2</v>
      </c>
      <c r="E17" s="7">
        <v>2</v>
      </c>
      <c r="F17" s="7">
        <v>8</v>
      </c>
    </row>
    <row r="18" spans="1:6" x14ac:dyDescent="0.25">
      <c r="A18" s="7" t="s">
        <v>35</v>
      </c>
      <c r="B18" s="7">
        <v>296086.16283716285</v>
      </c>
      <c r="C18" s="7">
        <v>394538.8651348651</v>
      </c>
      <c r="D18" s="7">
        <v>4328543.1468531471</v>
      </c>
      <c r="E18" s="7">
        <v>54494311.996993989</v>
      </c>
      <c r="F18" s="7">
        <v>59513480.171819165</v>
      </c>
    </row>
    <row r="19" spans="1:6" x14ac:dyDescent="0.25">
      <c r="A19" s="7" t="s">
        <v>17</v>
      </c>
      <c r="B19" s="7">
        <v>148043.08141858142</v>
      </c>
      <c r="C19" s="7">
        <v>197269.43256743255</v>
      </c>
      <c r="D19" s="7">
        <v>2164271.5734265735</v>
      </c>
      <c r="E19" s="7">
        <v>27247155.998496994</v>
      </c>
      <c r="F19" s="7">
        <v>7439185.0214773957</v>
      </c>
    </row>
    <row r="20" spans="1:6" x14ac:dyDescent="0.25">
      <c r="A20" s="7" t="s">
        <v>36</v>
      </c>
      <c r="B20" s="7">
        <v>2.8146803245852778</v>
      </c>
      <c r="C20" s="7">
        <v>4.7583505404624846</v>
      </c>
      <c r="D20" s="7">
        <v>0.12475037430404289</v>
      </c>
      <c r="E20" s="7">
        <v>0.75825047324053185</v>
      </c>
      <c r="F20" s="7">
        <v>150224719513675.47</v>
      </c>
    </row>
    <row r="21" spans="1:6" x14ac:dyDescent="0.25">
      <c r="A21" s="7"/>
      <c r="B21" s="7"/>
      <c r="C21" s="7"/>
      <c r="D21" s="7"/>
      <c r="E21" s="7"/>
      <c r="F21" s="7"/>
    </row>
    <row r="22" spans="1:6" ht="15.75" thickBot="1" x14ac:dyDescent="0.3">
      <c r="A22" s="8" t="s">
        <v>8</v>
      </c>
      <c r="B22" s="8"/>
      <c r="C22" s="8"/>
      <c r="D22" s="8"/>
      <c r="E22" s="8"/>
      <c r="F22" s="8"/>
    </row>
    <row r="23" spans="1:6" x14ac:dyDescent="0.25">
      <c r="A23" s="7" t="s">
        <v>34</v>
      </c>
      <c r="B23" s="7">
        <v>2</v>
      </c>
      <c r="C23" s="7">
        <v>2</v>
      </c>
      <c r="D23" s="7">
        <v>2</v>
      </c>
      <c r="E23" s="7">
        <v>2</v>
      </c>
      <c r="F23" s="7">
        <v>8</v>
      </c>
    </row>
    <row r="24" spans="1:6" x14ac:dyDescent="0.25">
      <c r="A24" s="7" t="s">
        <v>35</v>
      </c>
      <c r="B24" s="7">
        <v>308408.89010989008</v>
      </c>
      <c r="C24" s="7">
        <v>384625.26773226773</v>
      </c>
      <c r="D24" s="7">
        <v>4614673.6173826177</v>
      </c>
      <c r="E24" s="7">
        <v>53092257.767535068</v>
      </c>
      <c r="F24" s="7">
        <v>58399965.542759843</v>
      </c>
    </row>
    <row r="25" spans="1:6" x14ac:dyDescent="0.25">
      <c r="A25" s="7" t="s">
        <v>17</v>
      </c>
      <c r="B25" s="7">
        <v>154204.44505494504</v>
      </c>
      <c r="C25" s="7">
        <v>192312.63386613387</v>
      </c>
      <c r="D25" s="7">
        <v>2307336.8086913088</v>
      </c>
      <c r="E25" s="7">
        <v>26546128.883767534</v>
      </c>
      <c r="F25" s="7">
        <v>7299995.6928449804</v>
      </c>
    </row>
    <row r="26" spans="1:6" x14ac:dyDescent="0.25">
      <c r="A26" s="7" t="s">
        <v>36</v>
      </c>
      <c r="B26" s="7">
        <v>127388464.43917018</v>
      </c>
      <c r="C26" s="7">
        <v>548066557.58730793</v>
      </c>
      <c r="D26" s="7">
        <v>112415434444.16602</v>
      </c>
      <c r="E26" s="7">
        <v>631717600.21909392</v>
      </c>
      <c r="F26" s="7">
        <v>141993896532477.19</v>
      </c>
    </row>
    <row r="27" spans="1:6" x14ac:dyDescent="0.25">
      <c r="A27" s="7"/>
      <c r="B27" s="7"/>
      <c r="C27" s="7"/>
      <c r="D27" s="7"/>
      <c r="E27" s="7"/>
      <c r="F27" s="7"/>
    </row>
    <row r="28" spans="1:6" ht="15.75" thickBot="1" x14ac:dyDescent="0.3">
      <c r="A28" s="8" t="s">
        <v>9</v>
      </c>
      <c r="B28" s="8"/>
      <c r="C28" s="8"/>
      <c r="D28" s="8"/>
      <c r="E28" s="8"/>
      <c r="F28" s="8"/>
    </row>
    <row r="29" spans="1:6" x14ac:dyDescent="0.25">
      <c r="A29" s="7" t="s">
        <v>34</v>
      </c>
      <c r="B29" s="7">
        <v>2</v>
      </c>
      <c r="C29" s="7">
        <v>2</v>
      </c>
      <c r="D29" s="7">
        <v>2</v>
      </c>
      <c r="E29" s="7">
        <v>2</v>
      </c>
      <c r="F29" s="7">
        <v>8</v>
      </c>
    </row>
    <row r="30" spans="1:6" x14ac:dyDescent="0.25">
      <c r="A30" s="7" t="s">
        <v>35</v>
      </c>
      <c r="B30" s="7">
        <v>305649.3976023976</v>
      </c>
      <c r="C30" s="7">
        <v>494340.19780219765</v>
      </c>
      <c r="D30" s="7">
        <v>4569511.2607392613</v>
      </c>
      <c r="E30" s="7">
        <v>54891654.458917841</v>
      </c>
      <c r="F30" s="7">
        <v>60261155.315061703</v>
      </c>
    </row>
    <row r="31" spans="1:6" x14ac:dyDescent="0.25">
      <c r="A31" s="7" t="s">
        <v>17</v>
      </c>
      <c r="B31" s="7">
        <v>152824.6988011988</v>
      </c>
      <c r="C31" s="7">
        <v>247170.09890109883</v>
      </c>
      <c r="D31" s="7">
        <v>2284755.6303696306</v>
      </c>
      <c r="E31" s="7">
        <v>27445827.229458921</v>
      </c>
      <c r="F31" s="7">
        <v>7532644.4143827129</v>
      </c>
    </row>
    <row r="32" spans="1:6" x14ac:dyDescent="0.25">
      <c r="A32" s="7" t="s">
        <v>36</v>
      </c>
      <c r="B32" s="7">
        <v>22933205.599101163</v>
      </c>
      <c r="C32" s="7">
        <v>7686522476.5909424</v>
      </c>
      <c r="D32" s="7">
        <v>24245913185.009491</v>
      </c>
      <c r="E32" s="7">
        <v>2399425108918.6704</v>
      </c>
      <c r="F32" s="7">
        <v>152237357654553.53</v>
      </c>
    </row>
    <row r="33" spans="1:6" x14ac:dyDescent="0.25">
      <c r="A33" s="7"/>
      <c r="B33" s="7"/>
      <c r="C33" s="7"/>
      <c r="D33" s="7"/>
      <c r="E33" s="7"/>
      <c r="F33" s="7"/>
    </row>
    <row r="34" spans="1:6" ht="15.75" thickBot="1" x14ac:dyDescent="0.3">
      <c r="A34" s="8" t="s">
        <v>10</v>
      </c>
      <c r="B34" s="8"/>
      <c r="C34" s="8"/>
      <c r="D34" s="8"/>
      <c r="E34" s="8"/>
      <c r="F34" s="8"/>
    </row>
    <row r="35" spans="1:6" x14ac:dyDescent="0.25">
      <c r="A35" s="7" t="s">
        <v>34</v>
      </c>
      <c r="B35" s="7">
        <v>2</v>
      </c>
      <c r="C35" s="7">
        <v>2</v>
      </c>
      <c r="D35" s="7">
        <v>2</v>
      </c>
      <c r="E35" s="7">
        <v>2</v>
      </c>
      <c r="F35" s="7">
        <v>8</v>
      </c>
    </row>
    <row r="36" spans="1:6" x14ac:dyDescent="0.25">
      <c r="A36" s="7" t="s">
        <v>35</v>
      </c>
      <c r="B36" s="7">
        <v>309956.6483516483</v>
      </c>
      <c r="C36" s="7">
        <v>441709.59940059937</v>
      </c>
      <c r="D36" s="7">
        <v>5075221.8951048963</v>
      </c>
      <c r="E36" s="7">
        <v>49803697.784569144</v>
      </c>
      <c r="F36" s="7">
        <v>55630585.927426286</v>
      </c>
    </row>
    <row r="37" spans="1:6" x14ac:dyDescent="0.25">
      <c r="A37" s="7" t="s">
        <v>17</v>
      </c>
      <c r="B37" s="7">
        <v>154978.32417582415</v>
      </c>
      <c r="C37" s="7">
        <v>220854.79970029969</v>
      </c>
      <c r="D37" s="7">
        <v>2537610.9475524481</v>
      </c>
      <c r="E37" s="7">
        <v>24901848.892284572</v>
      </c>
      <c r="F37" s="7">
        <v>6953823.2409282858</v>
      </c>
    </row>
    <row r="38" spans="1:6" x14ac:dyDescent="0.25">
      <c r="A38" s="7" t="s">
        <v>36</v>
      </c>
      <c r="B38" s="7">
        <v>17762651.756555803</v>
      </c>
      <c r="C38" s="7">
        <v>343491083.47597516</v>
      </c>
      <c r="D38" s="7">
        <v>38554514011.04921</v>
      </c>
      <c r="E38" s="7">
        <v>2125052344381.0498</v>
      </c>
      <c r="F38" s="7">
        <v>124078198883026.72</v>
      </c>
    </row>
    <row r="39" spans="1:6" x14ac:dyDescent="0.25">
      <c r="A39" s="7"/>
      <c r="B39" s="7"/>
      <c r="C39" s="7"/>
      <c r="D39" s="7"/>
      <c r="E39" s="7"/>
      <c r="F39" s="7"/>
    </row>
    <row r="40" spans="1:6" ht="15.75" thickBot="1" x14ac:dyDescent="0.3">
      <c r="A40" s="8" t="s">
        <v>11</v>
      </c>
      <c r="B40" s="8"/>
      <c r="C40" s="8"/>
      <c r="D40" s="8"/>
      <c r="E40" s="8"/>
      <c r="F40" s="8"/>
    </row>
    <row r="41" spans="1:6" x14ac:dyDescent="0.25">
      <c r="A41" s="7" t="s">
        <v>34</v>
      </c>
      <c r="B41" s="7">
        <v>2</v>
      </c>
      <c r="C41" s="7">
        <v>2</v>
      </c>
      <c r="D41" s="7">
        <v>2</v>
      </c>
      <c r="E41" s="7">
        <v>2</v>
      </c>
      <c r="F41" s="7">
        <v>8</v>
      </c>
    </row>
    <row r="42" spans="1:6" x14ac:dyDescent="0.25">
      <c r="A42" s="7" t="s">
        <v>35</v>
      </c>
      <c r="B42" s="7">
        <v>302340.68031968031</v>
      </c>
      <c r="C42" s="7">
        <v>518362.23176823178</v>
      </c>
      <c r="D42" s="7">
        <v>4799960.2067932077</v>
      </c>
      <c r="E42" s="7">
        <v>53440014.668336675</v>
      </c>
      <c r="F42" s="7">
        <v>59060677.787217796</v>
      </c>
    </row>
    <row r="43" spans="1:6" x14ac:dyDescent="0.25">
      <c r="A43" s="7" t="s">
        <v>17</v>
      </c>
      <c r="B43" s="7">
        <v>151170.34015984015</v>
      </c>
      <c r="C43" s="7">
        <v>259181.11588411589</v>
      </c>
      <c r="D43" s="7">
        <v>2399980.1033966038</v>
      </c>
      <c r="E43" s="7">
        <v>26720007.334168337</v>
      </c>
      <c r="F43" s="7">
        <v>7382584.7234022245</v>
      </c>
    </row>
    <row r="44" spans="1:6" x14ac:dyDescent="0.25">
      <c r="A44" s="7" t="s">
        <v>36</v>
      </c>
      <c r="B44" s="7">
        <v>32619755.260037262</v>
      </c>
      <c r="C44" s="7">
        <v>1740132462.9614716</v>
      </c>
      <c r="D44" s="7">
        <v>132192947874.43359</v>
      </c>
      <c r="E44" s="7">
        <v>928803151986.51831</v>
      </c>
      <c r="F44" s="7">
        <v>143522822682993.22</v>
      </c>
    </row>
    <row r="45" spans="1:6" x14ac:dyDescent="0.25">
      <c r="A45" s="7"/>
      <c r="B45" s="7"/>
      <c r="C45" s="7"/>
      <c r="D45" s="7"/>
      <c r="E45" s="7"/>
      <c r="F45" s="7"/>
    </row>
    <row r="46" spans="1:6" ht="15.75" thickBot="1" x14ac:dyDescent="0.3">
      <c r="A46" s="8" t="s">
        <v>12</v>
      </c>
      <c r="B46" s="8"/>
      <c r="C46" s="8"/>
      <c r="D46" s="8"/>
      <c r="E46" s="8"/>
      <c r="F46" s="8"/>
    </row>
    <row r="47" spans="1:6" x14ac:dyDescent="0.25">
      <c r="A47" s="7" t="s">
        <v>34</v>
      </c>
      <c r="B47" s="7">
        <v>2</v>
      </c>
      <c r="C47" s="7">
        <v>2</v>
      </c>
      <c r="D47" s="7">
        <v>2</v>
      </c>
      <c r="E47" s="7">
        <v>2</v>
      </c>
      <c r="F47" s="7">
        <v>8</v>
      </c>
    </row>
    <row r="48" spans="1:6" x14ac:dyDescent="0.25">
      <c r="A48" s="7" t="s">
        <v>35</v>
      </c>
      <c r="B48" s="7">
        <v>307759.24075924081</v>
      </c>
      <c r="C48" s="7">
        <v>465784.12487512489</v>
      </c>
      <c r="D48" s="7">
        <v>4699248.7472527474</v>
      </c>
      <c r="E48" s="7">
        <v>55451377.360721439</v>
      </c>
      <c r="F48" s="7">
        <v>60924169.473608553</v>
      </c>
    </row>
    <row r="49" spans="1:10" x14ac:dyDescent="0.25">
      <c r="A49" s="7" t="s">
        <v>17</v>
      </c>
      <c r="B49" s="7">
        <v>153879.62037962041</v>
      </c>
      <c r="C49" s="7">
        <v>232892.06243756245</v>
      </c>
      <c r="D49" s="7">
        <v>2349624.3736263737</v>
      </c>
      <c r="E49" s="7">
        <v>27725688.68036072</v>
      </c>
      <c r="F49" s="7">
        <v>7615521.1842010692</v>
      </c>
    </row>
    <row r="50" spans="1:10" x14ac:dyDescent="0.25">
      <c r="A50" s="7" t="s">
        <v>36</v>
      </c>
      <c r="B50" s="7">
        <v>23204584.71478596</v>
      </c>
      <c r="C50" s="7">
        <v>103958418.83145896</v>
      </c>
      <c r="D50" s="7">
        <v>23519182627.778419</v>
      </c>
      <c r="E50" s="7">
        <v>3940880876094.8662</v>
      </c>
      <c r="F50" s="7">
        <v>155517164894439.56</v>
      </c>
    </row>
    <row r="51" spans="1:10" x14ac:dyDescent="0.25">
      <c r="A51" s="7"/>
      <c r="B51" s="7"/>
      <c r="C51" s="7"/>
      <c r="D51" s="7"/>
      <c r="E51" s="7"/>
      <c r="F51" s="7"/>
    </row>
    <row r="52" spans="1:10" ht="15.75" thickBot="1" x14ac:dyDescent="0.3">
      <c r="A52" s="8" t="s">
        <v>33</v>
      </c>
      <c r="B52" s="8"/>
      <c r="C52" s="8"/>
      <c r="D52" s="8"/>
      <c r="E52" s="8"/>
      <c r="F52" s="8"/>
      <c r="G52" s="8"/>
      <c r="H52" s="8"/>
      <c r="I52" s="8"/>
      <c r="J52" s="8"/>
    </row>
    <row r="53" spans="1:10" x14ac:dyDescent="0.25">
      <c r="A53" s="7" t="s">
        <v>34</v>
      </c>
      <c r="B53" s="7">
        <v>16</v>
      </c>
      <c r="C53" s="7">
        <v>16</v>
      </c>
      <c r="D53" s="7">
        <v>16</v>
      </c>
      <c r="E53" s="7">
        <v>16</v>
      </c>
      <c r="F53" s="7"/>
      <c r="G53" s="7"/>
      <c r="H53" s="7"/>
      <c r="I53" s="7"/>
      <c r="J53" s="7"/>
    </row>
    <row r="54" spans="1:10" x14ac:dyDescent="0.25">
      <c r="A54" s="7" t="s">
        <v>35</v>
      </c>
      <c r="B54" s="7">
        <v>2344313.307692308</v>
      </c>
      <c r="C54" s="7">
        <v>3317369.6053946055</v>
      </c>
      <c r="D54" s="7">
        <v>35073239.059940062</v>
      </c>
      <c r="E54" s="7">
        <v>416684889.76052105</v>
      </c>
      <c r="F54" s="7"/>
      <c r="G54" s="7"/>
      <c r="H54" s="7"/>
      <c r="I54" s="7"/>
      <c r="J54" s="7"/>
    </row>
    <row r="55" spans="1:10" x14ac:dyDescent="0.25">
      <c r="A55" s="7" t="s">
        <v>17</v>
      </c>
      <c r="B55" s="7">
        <v>146519.58173076922</v>
      </c>
      <c r="C55" s="7">
        <v>207335.60033716285</v>
      </c>
      <c r="D55" s="7">
        <v>2192077.4412462539</v>
      </c>
      <c r="E55" s="7">
        <v>26042805.610032562</v>
      </c>
      <c r="F55" s="7"/>
      <c r="G55" s="7"/>
      <c r="H55" s="7"/>
      <c r="I55" s="7"/>
      <c r="J55" s="7"/>
    </row>
    <row r="56" spans="1:10" x14ac:dyDescent="0.25">
      <c r="A56" s="7" t="s">
        <v>36</v>
      </c>
      <c r="B56" s="7">
        <v>135908734.97504273</v>
      </c>
      <c r="C56" s="7">
        <v>2199992348.5891275</v>
      </c>
      <c r="D56" s="7">
        <v>110082453162.68333</v>
      </c>
      <c r="E56" s="7">
        <v>7493907705098.667</v>
      </c>
      <c r="F56" s="7"/>
      <c r="G56" s="7"/>
      <c r="H56" s="7"/>
      <c r="I56" s="7"/>
      <c r="J56" s="7"/>
    </row>
    <row r="57" spans="1:10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</row>
    <row r="59" spans="1:10" ht="15.75" thickBot="1" x14ac:dyDescent="0.3">
      <c r="A59" t="s">
        <v>37</v>
      </c>
    </row>
    <row r="60" spans="1:10" x14ac:dyDescent="0.25">
      <c r="A60" s="10" t="s">
        <v>38</v>
      </c>
      <c r="B60" s="10" t="s">
        <v>39</v>
      </c>
      <c r="C60" s="10" t="s">
        <v>40</v>
      </c>
      <c r="D60" s="10" t="s">
        <v>41</v>
      </c>
      <c r="E60" s="10" t="s">
        <v>42</v>
      </c>
      <c r="F60" s="10" t="s">
        <v>43</v>
      </c>
      <c r="G60" s="10" t="s">
        <v>44</v>
      </c>
    </row>
    <row r="61" spans="1:10" x14ac:dyDescent="0.25">
      <c r="A61" s="7" t="s">
        <v>45</v>
      </c>
      <c r="B61" s="7">
        <v>28921827752534</v>
      </c>
      <c r="C61" s="7">
        <v>7</v>
      </c>
      <c r="D61" s="7">
        <v>4131689678933.4287</v>
      </c>
      <c r="E61" s="7">
        <v>10.401558294346614</v>
      </c>
      <c r="F61" s="7">
        <v>9.7546315381469183E-7</v>
      </c>
      <c r="G61" s="7">
        <v>2.3127411866337537</v>
      </c>
    </row>
    <row r="62" spans="1:10" x14ac:dyDescent="0.25">
      <c r="A62" s="7" t="s">
        <v>46</v>
      </c>
      <c r="B62" s="7">
        <v>7660294322330506</v>
      </c>
      <c r="C62" s="7">
        <v>3</v>
      </c>
      <c r="D62" s="7">
        <v>2553431440776835.5</v>
      </c>
      <c r="E62" s="7">
        <v>6428.2819005695364</v>
      </c>
      <c r="F62" s="7">
        <v>1.4844586041438479E-44</v>
      </c>
      <c r="G62" s="7">
        <v>2.9011195838408388</v>
      </c>
    </row>
    <row r="63" spans="1:10" x14ac:dyDescent="0.25">
      <c r="A63" s="7" t="s">
        <v>47</v>
      </c>
      <c r="B63" s="7">
        <v>72462076381187.219</v>
      </c>
      <c r="C63" s="7">
        <v>21</v>
      </c>
      <c r="D63" s="7">
        <v>3450575065770.8198</v>
      </c>
      <c r="E63" s="7">
        <v>8.6868473880398547</v>
      </c>
      <c r="F63" s="7">
        <v>4.7901339914183151E-8</v>
      </c>
      <c r="G63" s="7">
        <v>1.8957059619525327</v>
      </c>
    </row>
    <row r="64" spans="1:10" x14ac:dyDescent="0.25">
      <c r="A64" s="7" t="s">
        <v>48</v>
      </c>
      <c r="B64" s="7">
        <v>12710986756448.775</v>
      </c>
      <c r="C64" s="7">
        <v>32</v>
      </c>
      <c r="D64" s="7">
        <v>397218336139.02423</v>
      </c>
      <c r="E64" s="7"/>
      <c r="F64" s="7"/>
      <c r="G64" s="7"/>
    </row>
    <row r="65" spans="1:7" x14ac:dyDescent="0.25">
      <c r="A65" s="7"/>
      <c r="B65" s="7"/>
      <c r="C65" s="7"/>
      <c r="D65" s="7"/>
      <c r="E65" s="7"/>
      <c r="F65" s="7"/>
      <c r="G65" s="7"/>
    </row>
    <row r="66" spans="1:7" ht="15.75" thickBot="1" x14ac:dyDescent="0.3">
      <c r="A66" s="9" t="s">
        <v>33</v>
      </c>
      <c r="B66" s="9">
        <v>7774389213220676</v>
      </c>
      <c r="C66" s="9">
        <v>63</v>
      </c>
      <c r="D66" s="9"/>
      <c r="E66" s="9"/>
      <c r="F66" s="9"/>
      <c r="G66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8AE7B-47E7-4118-BFA6-8484F602186F}">
  <dimension ref="A1:J66"/>
  <sheetViews>
    <sheetView topLeftCell="A31" workbookViewId="0">
      <selection activeCell="K60" sqref="K60"/>
    </sheetView>
  </sheetViews>
  <sheetFormatPr defaultRowHeight="15" x14ac:dyDescent="0.25"/>
  <sheetData>
    <row r="1" spans="1:6" x14ac:dyDescent="0.25">
      <c r="A1" t="s">
        <v>31</v>
      </c>
    </row>
    <row r="3" spans="1:6" x14ac:dyDescent="0.25">
      <c r="A3" t="s">
        <v>32</v>
      </c>
      <c r="B3" t="s">
        <v>25</v>
      </c>
      <c r="C3" t="s">
        <v>26</v>
      </c>
      <c r="D3" t="s">
        <v>27</v>
      </c>
      <c r="E3" t="s">
        <v>28</v>
      </c>
      <c r="F3" t="s">
        <v>33</v>
      </c>
    </row>
    <row r="4" spans="1:6" ht="15.75" thickBot="1" x14ac:dyDescent="0.3">
      <c r="A4" s="8" t="s">
        <v>5</v>
      </c>
      <c r="B4" s="8"/>
      <c r="C4" s="8"/>
      <c r="D4" s="8"/>
      <c r="E4" s="8"/>
      <c r="F4" s="8"/>
    </row>
    <row r="5" spans="1:6" x14ac:dyDescent="0.25">
      <c r="A5" s="7" t="s">
        <v>34</v>
      </c>
      <c r="B5" s="7">
        <v>2</v>
      </c>
      <c r="C5" s="7">
        <v>2</v>
      </c>
      <c r="D5" s="7">
        <v>2</v>
      </c>
      <c r="E5" s="7">
        <v>2</v>
      </c>
      <c r="F5" s="7">
        <v>8</v>
      </c>
    </row>
    <row r="6" spans="1:6" x14ac:dyDescent="0.25">
      <c r="A6" s="7" t="s">
        <v>35</v>
      </c>
      <c r="B6" s="7">
        <v>762521248.33333349</v>
      </c>
      <c r="C6" s="7">
        <v>1416270169.2451611</v>
      </c>
      <c r="D6" s="7">
        <v>12242673043.28553</v>
      </c>
      <c r="E6" s="7">
        <v>127266988249.94858</v>
      </c>
      <c r="F6" s="7">
        <v>141688452710.81259</v>
      </c>
    </row>
    <row r="7" spans="1:6" x14ac:dyDescent="0.25">
      <c r="A7" s="7" t="s">
        <v>17</v>
      </c>
      <c r="B7" s="7">
        <v>381260624.16666675</v>
      </c>
      <c r="C7" s="7">
        <v>708135084.62258053</v>
      </c>
      <c r="D7" s="7">
        <v>6121336521.642765</v>
      </c>
      <c r="E7" s="7">
        <v>63633494124.974289</v>
      </c>
      <c r="F7" s="7">
        <v>17711056588.851574</v>
      </c>
    </row>
    <row r="8" spans="1:6" x14ac:dyDescent="0.25">
      <c r="A8" s="7" t="s">
        <v>36</v>
      </c>
      <c r="B8" s="7">
        <v>105711834186114.23</v>
      </c>
      <c r="C8" s="7">
        <v>2096871396359876</v>
      </c>
      <c r="D8" s="7">
        <v>6.373210206741676E+18</v>
      </c>
      <c r="E8" s="7">
        <v>2.4976787303518446E+19</v>
      </c>
      <c r="F8" s="7">
        <v>8.1379689954248058E+20</v>
      </c>
    </row>
    <row r="9" spans="1:6" x14ac:dyDescent="0.25">
      <c r="A9" s="7"/>
      <c r="B9" s="7"/>
      <c r="C9" s="7"/>
      <c r="D9" s="7"/>
      <c r="E9" s="7"/>
      <c r="F9" s="7"/>
    </row>
    <row r="10" spans="1:6" ht="15.75" thickBot="1" x14ac:dyDescent="0.3">
      <c r="A10" s="8" t="s">
        <v>6</v>
      </c>
      <c r="B10" s="8"/>
      <c r="C10" s="8"/>
      <c r="D10" s="8"/>
      <c r="E10" s="8"/>
      <c r="F10" s="8"/>
    </row>
    <row r="11" spans="1:6" x14ac:dyDescent="0.25">
      <c r="A11" s="7" t="s">
        <v>34</v>
      </c>
      <c r="B11" s="7">
        <v>2</v>
      </c>
      <c r="C11" s="7">
        <v>2</v>
      </c>
      <c r="D11" s="7">
        <v>2</v>
      </c>
      <c r="E11" s="7">
        <v>2</v>
      </c>
      <c r="F11" s="7">
        <v>8</v>
      </c>
    </row>
    <row r="12" spans="1:6" x14ac:dyDescent="0.25">
      <c r="A12" s="7" t="s">
        <v>35</v>
      </c>
      <c r="B12" s="7">
        <v>758824288.33333337</v>
      </c>
      <c r="C12" s="7">
        <v>1951573890.8333333</v>
      </c>
      <c r="D12" s="7">
        <v>15501226885</v>
      </c>
      <c r="E12" s="7">
        <v>236861217850</v>
      </c>
      <c r="F12" s="7">
        <v>255072842914.16669</v>
      </c>
    </row>
    <row r="13" spans="1:6" x14ac:dyDescent="0.25">
      <c r="A13" s="7" t="s">
        <v>17</v>
      </c>
      <c r="B13" s="7">
        <v>379412144.16666669</v>
      </c>
      <c r="C13" s="7">
        <v>975786945.41666663</v>
      </c>
      <c r="D13" s="7">
        <v>7750613442.5</v>
      </c>
      <c r="E13" s="7">
        <v>118430608925</v>
      </c>
      <c r="F13" s="7">
        <v>31884105364.270836</v>
      </c>
    </row>
    <row r="14" spans="1:6" x14ac:dyDescent="0.25">
      <c r="A14" s="7" t="s">
        <v>36</v>
      </c>
      <c r="B14" s="7">
        <v>44795384128800</v>
      </c>
      <c r="C14" s="7">
        <v>511916723386495.5</v>
      </c>
      <c r="D14" s="7">
        <v>7281881282286112</v>
      </c>
      <c r="E14" s="7">
        <v>2.2807730658977625E+20</v>
      </c>
      <c r="F14" s="7">
        <v>2.8956100359689208E+21</v>
      </c>
    </row>
    <row r="15" spans="1:6" x14ac:dyDescent="0.25">
      <c r="A15" s="7"/>
      <c r="B15" s="7"/>
      <c r="C15" s="7"/>
      <c r="D15" s="7"/>
      <c r="E15" s="7"/>
      <c r="F15" s="7"/>
    </row>
    <row r="16" spans="1:6" ht="15.75" thickBot="1" x14ac:dyDescent="0.3">
      <c r="A16" s="8" t="s">
        <v>7</v>
      </c>
      <c r="B16" s="8"/>
      <c r="C16" s="8"/>
      <c r="D16" s="8"/>
      <c r="E16" s="8"/>
      <c r="F16" s="8"/>
    </row>
    <row r="17" spans="1:6" x14ac:dyDescent="0.25">
      <c r="A17" s="7" t="s">
        <v>34</v>
      </c>
      <c r="B17" s="7">
        <v>2</v>
      </c>
      <c r="C17" s="7">
        <v>2</v>
      </c>
      <c r="D17" s="7">
        <v>2</v>
      </c>
      <c r="E17" s="7">
        <v>2</v>
      </c>
      <c r="F17" s="7">
        <v>8</v>
      </c>
    </row>
    <row r="18" spans="1:6" x14ac:dyDescent="0.25">
      <c r="A18" s="7" t="s">
        <v>35</v>
      </c>
      <c r="B18" s="7">
        <v>769889233.33333337</v>
      </c>
      <c r="C18" s="7">
        <v>2339162720</v>
      </c>
      <c r="D18" s="7">
        <v>16094681650</v>
      </c>
      <c r="E18" s="7">
        <v>265923059730</v>
      </c>
      <c r="F18" s="7">
        <v>285126793333.33331</v>
      </c>
    </row>
    <row r="19" spans="1:6" x14ac:dyDescent="0.25">
      <c r="A19" s="7" t="s">
        <v>17</v>
      </c>
      <c r="B19" s="7">
        <v>384944616.66666669</v>
      </c>
      <c r="C19" s="7">
        <v>1169581360</v>
      </c>
      <c r="D19" s="7">
        <v>8047340825</v>
      </c>
      <c r="E19" s="7">
        <v>132961529865</v>
      </c>
      <c r="F19" s="7">
        <v>35640849166.666664</v>
      </c>
    </row>
    <row r="20" spans="1:6" x14ac:dyDescent="0.25">
      <c r="A20" s="7" t="s">
        <v>36</v>
      </c>
      <c r="B20" s="7">
        <v>10396800</v>
      </c>
      <c r="C20" s="7">
        <v>460800</v>
      </c>
      <c r="D20" s="7">
        <v>3484800</v>
      </c>
      <c r="E20" s="7">
        <v>20995200</v>
      </c>
      <c r="F20" s="7">
        <v>3.6182753440074973E+21</v>
      </c>
    </row>
    <row r="21" spans="1:6" x14ac:dyDescent="0.25">
      <c r="A21" s="7"/>
      <c r="B21" s="7"/>
      <c r="C21" s="7"/>
      <c r="D21" s="7"/>
      <c r="E21" s="7"/>
      <c r="F21" s="7"/>
    </row>
    <row r="22" spans="1:6" ht="15.75" thickBot="1" x14ac:dyDescent="0.3">
      <c r="A22" s="8" t="s">
        <v>8</v>
      </c>
      <c r="B22" s="8"/>
      <c r="C22" s="8"/>
      <c r="D22" s="8"/>
      <c r="E22" s="8"/>
      <c r="F22" s="8"/>
    </row>
    <row r="23" spans="1:6" x14ac:dyDescent="0.25">
      <c r="A23" s="7" t="s">
        <v>34</v>
      </c>
      <c r="B23" s="7">
        <v>2</v>
      </c>
      <c r="C23" s="7">
        <v>2</v>
      </c>
      <c r="D23" s="7">
        <v>2</v>
      </c>
      <c r="E23" s="7">
        <v>2</v>
      </c>
      <c r="F23" s="7">
        <v>8</v>
      </c>
    </row>
    <row r="24" spans="1:6" x14ac:dyDescent="0.25">
      <c r="A24" s="7" t="s">
        <v>35</v>
      </c>
      <c r="B24" s="7">
        <v>844594202.5</v>
      </c>
      <c r="C24" s="7">
        <v>2114447073.333333</v>
      </c>
      <c r="D24" s="7">
        <v>18045832500</v>
      </c>
      <c r="E24" s="7">
        <v>293282658045</v>
      </c>
      <c r="F24" s="7">
        <v>314287531820.83337</v>
      </c>
    </row>
    <row r="25" spans="1:6" x14ac:dyDescent="0.25">
      <c r="A25" s="7" t="s">
        <v>17</v>
      </c>
      <c r="B25" s="7">
        <v>422297101.25</v>
      </c>
      <c r="C25" s="7">
        <v>1057223536.6666665</v>
      </c>
      <c r="D25" s="7">
        <v>9022916250</v>
      </c>
      <c r="E25" s="7">
        <v>146641329022.5</v>
      </c>
      <c r="F25" s="7">
        <v>39285941477.604172</v>
      </c>
    </row>
    <row r="26" spans="1:6" x14ac:dyDescent="0.25">
      <c r="A26" s="7" t="s">
        <v>36</v>
      </c>
      <c r="B26" s="7">
        <v>806797210467091.25</v>
      </c>
      <c r="C26" s="7">
        <v>2361744822715146</v>
      </c>
      <c r="D26" s="7">
        <v>1.8045217361746125E+17</v>
      </c>
      <c r="E26" s="7">
        <v>2.6987831730506461E+17</v>
      </c>
      <c r="F26" s="7">
        <v>4.403735545707811E+21</v>
      </c>
    </row>
    <row r="27" spans="1:6" x14ac:dyDescent="0.25">
      <c r="A27" s="7"/>
      <c r="B27" s="7"/>
      <c r="C27" s="7"/>
      <c r="D27" s="7"/>
      <c r="E27" s="7"/>
      <c r="F27" s="7"/>
    </row>
    <row r="28" spans="1:6" ht="15.75" thickBot="1" x14ac:dyDescent="0.3">
      <c r="A28" s="8" t="s">
        <v>9</v>
      </c>
      <c r="B28" s="8"/>
      <c r="C28" s="8"/>
      <c r="D28" s="8"/>
      <c r="E28" s="8"/>
      <c r="F28" s="8"/>
    </row>
    <row r="29" spans="1:6" x14ac:dyDescent="0.25">
      <c r="A29" s="7" t="s">
        <v>34</v>
      </c>
      <c r="B29" s="7">
        <v>2</v>
      </c>
      <c r="C29" s="7">
        <v>2</v>
      </c>
      <c r="D29" s="7">
        <v>2</v>
      </c>
      <c r="E29" s="7">
        <v>2</v>
      </c>
      <c r="F29" s="7">
        <v>8</v>
      </c>
    </row>
    <row r="30" spans="1:6" x14ac:dyDescent="0.25">
      <c r="A30" s="7" t="s">
        <v>35</v>
      </c>
      <c r="B30" s="7">
        <v>806483792.5</v>
      </c>
      <c r="C30" s="7">
        <v>2059575642.499999</v>
      </c>
      <c r="D30" s="7">
        <v>16760956570</v>
      </c>
      <c r="E30" s="7">
        <v>283978852725</v>
      </c>
      <c r="F30" s="7">
        <v>303605868730</v>
      </c>
    </row>
    <row r="31" spans="1:6" x14ac:dyDescent="0.25">
      <c r="A31" s="7" t="s">
        <v>17</v>
      </c>
      <c r="B31" s="7">
        <v>403241896.25</v>
      </c>
      <c r="C31" s="7">
        <v>1029787821.2499995</v>
      </c>
      <c r="D31" s="7">
        <v>8380478285</v>
      </c>
      <c r="E31" s="7">
        <v>141989426362.5</v>
      </c>
      <c r="F31" s="7">
        <v>37950733591.25</v>
      </c>
    </row>
    <row r="32" spans="1:6" x14ac:dyDescent="0.25">
      <c r="A32" s="7" t="s">
        <v>36</v>
      </c>
      <c r="B32" s="7">
        <v>1498623380225.416</v>
      </c>
      <c r="C32" s="7">
        <v>629161218393489.13</v>
      </c>
      <c r="D32" s="7">
        <v>9305500141089800</v>
      </c>
      <c r="E32" s="7">
        <v>2.5791663694655013E+19</v>
      </c>
      <c r="F32" s="7">
        <v>4.1383773604262996E+21</v>
      </c>
    </row>
    <row r="33" spans="1:6" x14ac:dyDescent="0.25">
      <c r="A33" s="7"/>
      <c r="B33" s="7"/>
      <c r="C33" s="7"/>
      <c r="D33" s="7"/>
      <c r="E33" s="7"/>
      <c r="F33" s="7"/>
    </row>
    <row r="34" spans="1:6" ht="15.75" thickBot="1" x14ac:dyDescent="0.3">
      <c r="A34" s="8" t="s">
        <v>10</v>
      </c>
      <c r="B34" s="8"/>
      <c r="C34" s="8"/>
      <c r="D34" s="8"/>
      <c r="E34" s="8"/>
      <c r="F34" s="8"/>
    </row>
    <row r="35" spans="1:6" x14ac:dyDescent="0.25">
      <c r="A35" s="7" t="s">
        <v>34</v>
      </c>
      <c r="B35" s="7">
        <v>2</v>
      </c>
      <c r="C35" s="7">
        <v>2</v>
      </c>
      <c r="D35" s="7">
        <v>2</v>
      </c>
      <c r="E35" s="7">
        <v>2</v>
      </c>
      <c r="F35" s="7">
        <v>8</v>
      </c>
    </row>
    <row r="36" spans="1:6" x14ac:dyDescent="0.25">
      <c r="A36" s="7" t="s">
        <v>35</v>
      </c>
      <c r="B36" s="7">
        <v>839036642.5</v>
      </c>
      <c r="C36" s="7">
        <v>2164967337.5</v>
      </c>
      <c r="D36" s="7">
        <v>17791971550</v>
      </c>
      <c r="E36" s="7">
        <v>282109027410</v>
      </c>
      <c r="F36" s="7">
        <v>302905002940</v>
      </c>
    </row>
    <row r="37" spans="1:6" x14ac:dyDescent="0.25">
      <c r="A37" s="7" t="s">
        <v>17</v>
      </c>
      <c r="B37" s="7">
        <v>419518321.25</v>
      </c>
      <c r="C37" s="7">
        <v>1082483668.75</v>
      </c>
      <c r="D37" s="7">
        <v>8895985775</v>
      </c>
      <c r="E37" s="7">
        <v>141054513705</v>
      </c>
      <c r="F37" s="7">
        <v>37863125367.5</v>
      </c>
    </row>
    <row r="38" spans="1:6" x14ac:dyDescent="0.25">
      <c r="A38" s="7" t="s">
        <v>36</v>
      </c>
      <c r="B38" s="7">
        <v>147588526907407.22</v>
      </c>
      <c r="C38" s="7">
        <v>3875282435365278</v>
      </c>
      <c r="D38" s="7">
        <v>1.5976699141557846E+17</v>
      </c>
      <c r="E38" s="7">
        <v>5.3241993811588861E+20</v>
      </c>
      <c r="F38" s="7">
        <v>4.1453397084534431E+21</v>
      </c>
    </row>
    <row r="39" spans="1:6" x14ac:dyDescent="0.25">
      <c r="A39" s="7"/>
      <c r="B39" s="7"/>
      <c r="C39" s="7"/>
      <c r="D39" s="7"/>
      <c r="E39" s="7"/>
      <c r="F39" s="7"/>
    </row>
    <row r="40" spans="1:6" ht="15.75" thickBot="1" x14ac:dyDescent="0.3">
      <c r="A40" s="8" t="s">
        <v>11</v>
      </c>
      <c r="B40" s="8"/>
      <c r="C40" s="8"/>
      <c r="D40" s="8"/>
      <c r="E40" s="8"/>
      <c r="F40" s="8"/>
    </row>
    <row r="41" spans="1:6" x14ac:dyDescent="0.25">
      <c r="A41" s="7" t="s">
        <v>34</v>
      </c>
      <c r="B41" s="7">
        <v>2</v>
      </c>
      <c r="C41" s="7">
        <v>2</v>
      </c>
      <c r="D41" s="7">
        <v>2</v>
      </c>
      <c r="E41" s="7">
        <v>2</v>
      </c>
      <c r="F41" s="7">
        <v>8</v>
      </c>
    </row>
    <row r="42" spans="1:6" x14ac:dyDescent="0.25">
      <c r="A42" s="7" t="s">
        <v>35</v>
      </c>
      <c r="B42" s="7">
        <v>822877182.5</v>
      </c>
      <c r="C42" s="7">
        <v>2152192031.666667</v>
      </c>
      <c r="D42" s="7">
        <v>17373580885</v>
      </c>
      <c r="E42" s="7">
        <v>288668547575</v>
      </c>
      <c r="F42" s="7">
        <v>309017197674.16663</v>
      </c>
    </row>
    <row r="43" spans="1:6" x14ac:dyDescent="0.25">
      <c r="A43" s="7" t="s">
        <v>17</v>
      </c>
      <c r="B43" s="7">
        <v>411438591.25</v>
      </c>
      <c r="C43" s="7">
        <v>1076096015.8333335</v>
      </c>
      <c r="D43" s="7">
        <v>8686790442.5</v>
      </c>
      <c r="E43" s="7">
        <v>144334273787.5</v>
      </c>
      <c r="F43" s="7">
        <v>38627149709.270828</v>
      </c>
    </row>
    <row r="44" spans="1:6" x14ac:dyDescent="0.25">
      <c r="A44" s="7" t="s">
        <v>36</v>
      </c>
      <c r="B44" s="7">
        <v>4068266402850.4604</v>
      </c>
      <c r="C44" s="7">
        <v>4364244604002.3281</v>
      </c>
      <c r="D44" s="7">
        <v>1453114130104012.5</v>
      </c>
      <c r="E44" s="7">
        <v>2.3461485298089962E+17</v>
      </c>
      <c r="F44" s="7">
        <v>4.268874697673344E+21</v>
      </c>
    </row>
    <row r="45" spans="1:6" x14ac:dyDescent="0.25">
      <c r="A45" s="7"/>
      <c r="B45" s="7"/>
      <c r="C45" s="7"/>
      <c r="D45" s="7"/>
      <c r="E45" s="7"/>
      <c r="F45" s="7"/>
    </row>
    <row r="46" spans="1:6" ht="15.75" thickBot="1" x14ac:dyDescent="0.3">
      <c r="A46" s="8" t="s">
        <v>12</v>
      </c>
      <c r="B46" s="8"/>
      <c r="C46" s="8"/>
      <c r="D46" s="8"/>
      <c r="E46" s="8"/>
      <c r="F46" s="8"/>
    </row>
    <row r="47" spans="1:6" x14ac:dyDescent="0.25">
      <c r="A47" s="7" t="s">
        <v>34</v>
      </c>
      <c r="B47" s="7">
        <v>2</v>
      </c>
      <c r="C47" s="7">
        <v>2</v>
      </c>
      <c r="D47" s="7">
        <v>2</v>
      </c>
      <c r="E47" s="7">
        <v>2</v>
      </c>
      <c r="F47" s="7">
        <v>8</v>
      </c>
    </row>
    <row r="48" spans="1:6" x14ac:dyDescent="0.25">
      <c r="A48" s="7" t="s">
        <v>35</v>
      </c>
      <c r="B48" s="7">
        <v>814016847.5</v>
      </c>
      <c r="C48" s="7">
        <v>1979501165.833333</v>
      </c>
      <c r="D48" s="7">
        <v>17227173415</v>
      </c>
      <c r="E48" s="7">
        <v>285872513805</v>
      </c>
      <c r="F48" s="7">
        <v>305893205233.33337</v>
      </c>
    </row>
    <row r="49" spans="1:10" x14ac:dyDescent="0.25">
      <c r="A49" s="7" t="s">
        <v>17</v>
      </c>
      <c r="B49" s="7">
        <v>407008423.75</v>
      </c>
      <c r="C49" s="7">
        <v>989750582.91666651</v>
      </c>
      <c r="D49" s="7">
        <v>8613586707.5</v>
      </c>
      <c r="E49" s="7">
        <v>142936256902.5</v>
      </c>
      <c r="F49" s="7">
        <v>38236650654.166672</v>
      </c>
    </row>
    <row r="50" spans="1:10" x14ac:dyDescent="0.25">
      <c r="A50" s="7" t="s">
        <v>36</v>
      </c>
      <c r="B50" s="7">
        <v>67310811193392.477</v>
      </c>
      <c r="C50" s="7">
        <v>40853801833001.781</v>
      </c>
      <c r="D50" s="7">
        <v>1.6904983404782912E+17</v>
      </c>
      <c r="E50" s="7">
        <v>1.9674150964160786E+19</v>
      </c>
      <c r="F50" s="7">
        <v>4.1908195762356465E+21</v>
      </c>
    </row>
    <row r="51" spans="1:10" x14ac:dyDescent="0.25">
      <c r="A51" s="7"/>
      <c r="B51" s="7"/>
      <c r="C51" s="7"/>
      <c r="D51" s="7"/>
      <c r="E51" s="7"/>
      <c r="F51" s="7"/>
    </row>
    <row r="52" spans="1:10" ht="15.75" thickBot="1" x14ac:dyDescent="0.3">
      <c r="A52" s="8" t="s">
        <v>33</v>
      </c>
      <c r="B52" s="8"/>
      <c r="C52" s="8"/>
      <c r="D52" s="8"/>
      <c r="E52" s="8"/>
      <c r="F52" s="8"/>
      <c r="G52" s="8"/>
      <c r="H52" s="8"/>
      <c r="I52" s="8"/>
      <c r="J52" s="8"/>
    </row>
    <row r="53" spans="1:10" x14ac:dyDescent="0.25">
      <c r="A53" s="7" t="s">
        <v>34</v>
      </c>
      <c r="B53" s="7">
        <v>16</v>
      </c>
      <c r="C53" s="7">
        <v>16</v>
      </c>
      <c r="D53" s="7">
        <v>16</v>
      </c>
      <c r="E53" s="7">
        <v>16</v>
      </c>
      <c r="F53" s="7"/>
      <c r="G53" s="7"/>
      <c r="H53" s="7"/>
      <c r="I53" s="7"/>
      <c r="J53" s="7"/>
    </row>
    <row r="54" spans="1:10" x14ac:dyDescent="0.25">
      <c r="A54" s="7" t="s">
        <v>35</v>
      </c>
      <c r="B54" s="7">
        <v>6418243437.5</v>
      </c>
      <c r="C54" s="7">
        <v>16177690030.911827</v>
      </c>
      <c r="D54" s="7">
        <v>131038096498.28552</v>
      </c>
      <c r="E54" s="7">
        <v>2063962865389.9487</v>
      </c>
      <c r="F54" s="7"/>
      <c r="G54" s="7"/>
      <c r="H54" s="7"/>
      <c r="I54" s="7"/>
      <c r="J54" s="7"/>
    </row>
    <row r="55" spans="1:10" x14ac:dyDescent="0.25">
      <c r="A55" s="7" t="s">
        <v>17</v>
      </c>
      <c r="B55" s="7">
        <v>401140214.84375</v>
      </c>
      <c r="C55" s="7">
        <v>1011105626.9319891</v>
      </c>
      <c r="D55" s="7">
        <v>8189881031.1428452</v>
      </c>
      <c r="E55" s="7">
        <v>128997679086.8718</v>
      </c>
      <c r="F55" s="7"/>
      <c r="G55" s="7"/>
      <c r="H55" s="7"/>
      <c r="I55" s="7"/>
      <c r="J55" s="7"/>
    </row>
    <row r="56" spans="1:10" x14ac:dyDescent="0.25">
      <c r="A56" s="7" t="s">
        <v>36</v>
      </c>
      <c r="B56" s="7">
        <v>353169073236477.06</v>
      </c>
      <c r="C56" s="7">
        <v>1.802182846070552E+16</v>
      </c>
      <c r="D56" s="7">
        <v>1.2796952433168658E+18</v>
      </c>
      <c r="E56" s="7">
        <v>7.8273602137557316E+20</v>
      </c>
      <c r="F56" s="7"/>
      <c r="G56" s="7"/>
      <c r="H56" s="7"/>
      <c r="I56" s="7"/>
      <c r="J56" s="7"/>
    </row>
    <row r="57" spans="1:10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</row>
    <row r="59" spans="1:10" ht="15.75" thickBot="1" x14ac:dyDescent="0.3">
      <c r="A59" t="s">
        <v>37</v>
      </c>
    </row>
    <row r="60" spans="1:10" x14ac:dyDescent="0.25">
      <c r="A60" s="10" t="s">
        <v>38</v>
      </c>
      <c r="B60" s="10" t="s">
        <v>39</v>
      </c>
      <c r="C60" s="10" t="s">
        <v>40</v>
      </c>
      <c r="D60" s="10" t="s">
        <v>41</v>
      </c>
      <c r="E60" s="10" t="s">
        <v>42</v>
      </c>
      <c r="F60" s="10" t="s">
        <v>43</v>
      </c>
      <c r="G60" s="10" t="s">
        <v>44</v>
      </c>
    </row>
    <row r="61" spans="1:10" x14ac:dyDescent="0.25">
      <c r="A61" s="7" t="s">
        <v>45</v>
      </c>
      <c r="B61" s="7">
        <v>2.9356200964058388E+21</v>
      </c>
      <c r="C61" s="7">
        <v>7</v>
      </c>
      <c r="D61" s="7">
        <v>4.1937429948654839E+20</v>
      </c>
      <c r="E61" s="7">
        <v>16.007501189004284</v>
      </c>
      <c r="F61" s="7">
        <v>7.8031415978492536E-9</v>
      </c>
      <c r="G61" s="7">
        <v>2.3127411866337537</v>
      </c>
    </row>
    <row r="62" spans="1:10" x14ac:dyDescent="0.25">
      <c r="A62" s="7" t="s">
        <v>46</v>
      </c>
      <c r="B62" s="7">
        <v>1.9049891289826754E+23</v>
      </c>
      <c r="C62" s="7">
        <v>3</v>
      </c>
      <c r="D62" s="7">
        <v>6.3499637632755843E+22</v>
      </c>
      <c r="E62" s="7">
        <v>2423.7787726910624</v>
      </c>
      <c r="F62" s="7">
        <v>8.5044876550964446E-38</v>
      </c>
      <c r="G62" s="7">
        <v>2.9011195838408388</v>
      </c>
    </row>
    <row r="63" spans="1:10" x14ac:dyDescent="0.25">
      <c r="A63" s="7" t="s">
        <v>47</v>
      </c>
      <c r="B63" s="7">
        <v>7.9865357203356055E+21</v>
      </c>
      <c r="C63" s="7">
        <v>21</v>
      </c>
      <c r="D63" s="7">
        <v>3.8031122477788601E+20</v>
      </c>
      <c r="E63" s="7">
        <v>14.516465101169022</v>
      </c>
      <c r="F63" s="7">
        <v>6.008354658782668E-11</v>
      </c>
      <c r="G63" s="7">
        <v>1.8957059619525327</v>
      </c>
    </row>
    <row r="64" spans="1:10" x14ac:dyDescent="0.25">
      <c r="A64" s="7" t="s">
        <v>48</v>
      </c>
      <c r="B64" s="7">
        <v>8.3835555750499451E+20</v>
      </c>
      <c r="C64" s="7">
        <v>32</v>
      </c>
      <c r="D64" s="7">
        <v>2.6198611172031078E+19</v>
      </c>
      <c r="E64" s="7"/>
      <c r="F64" s="7"/>
      <c r="G64" s="7"/>
    </row>
    <row r="65" spans="1:7" x14ac:dyDescent="0.25">
      <c r="A65" s="7"/>
      <c r="B65" s="7"/>
      <c r="C65" s="7"/>
      <c r="D65" s="7"/>
      <c r="E65" s="7"/>
      <c r="F65" s="7"/>
      <c r="G65" s="7"/>
    </row>
    <row r="66" spans="1:7" ht="15.75" thickBot="1" x14ac:dyDescent="0.3">
      <c r="A66" s="9" t="s">
        <v>33</v>
      </c>
      <c r="B66" s="9">
        <v>2.0225942427251398E+23</v>
      </c>
      <c r="C66" s="9">
        <v>63</v>
      </c>
      <c r="D66" s="9"/>
      <c r="E66" s="9"/>
      <c r="F66" s="9"/>
      <c r="G66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C2A9A-40D5-4444-A681-340BA8F44912}">
  <dimension ref="A1:J66"/>
  <sheetViews>
    <sheetView tabSelected="1" topLeftCell="A31" workbookViewId="0">
      <selection activeCell="B61" sqref="B61:G64"/>
    </sheetView>
  </sheetViews>
  <sheetFormatPr defaultRowHeight="15" x14ac:dyDescent="0.25"/>
  <sheetData>
    <row r="1" spans="1:6" x14ac:dyDescent="0.25">
      <c r="A1" t="s">
        <v>31</v>
      </c>
    </row>
    <row r="3" spans="1:6" x14ac:dyDescent="0.25">
      <c r="A3" t="s">
        <v>32</v>
      </c>
      <c r="B3" t="s">
        <v>25</v>
      </c>
      <c r="C3" t="s">
        <v>26</v>
      </c>
      <c r="D3" t="s">
        <v>27</v>
      </c>
      <c r="E3" t="s">
        <v>28</v>
      </c>
      <c r="F3" t="s">
        <v>33</v>
      </c>
    </row>
    <row r="4" spans="1:6" ht="15.75" thickBot="1" x14ac:dyDescent="0.3">
      <c r="A4" s="8" t="s">
        <v>5</v>
      </c>
      <c r="B4" s="8"/>
      <c r="C4" s="8"/>
      <c r="D4" s="8"/>
      <c r="E4" s="8"/>
      <c r="F4" s="8"/>
    </row>
    <row r="5" spans="1:6" x14ac:dyDescent="0.25">
      <c r="A5" s="7" t="s">
        <v>34</v>
      </c>
      <c r="B5" s="7">
        <v>2</v>
      </c>
      <c r="C5" s="7">
        <v>2</v>
      </c>
      <c r="D5" s="7">
        <v>2</v>
      </c>
      <c r="E5" s="7">
        <v>2</v>
      </c>
      <c r="F5" s="7">
        <v>8</v>
      </c>
    </row>
    <row r="6" spans="1:6" x14ac:dyDescent="0.25">
      <c r="A6" s="7" t="s">
        <v>35</v>
      </c>
      <c r="B6" s="7">
        <v>2352448</v>
      </c>
      <c r="C6" s="7">
        <v>6563186</v>
      </c>
      <c r="D6" s="7">
        <v>43661409</v>
      </c>
      <c r="E6" s="7">
        <v>702200011</v>
      </c>
      <c r="F6" s="7">
        <v>754777054</v>
      </c>
    </row>
    <row r="7" spans="1:6" x14ac:dyDescent="0.25">
      <c r="A7" s="7" t="s">
        <v>17</v>
      </c>
      <c r="B7" s="7">
        <v>1176224</v>
      </c>
      <c r="C7" s="7">
        <v>3281593</v>
      </c>
      <c r="D7" s="7">
        <v>21830704.5</v>
      </c>
      <c r="E7" s="7">
        <v>351100005.5</v>
      </c>
      <c r="F7" s="7">
        <v>94347131.75</v>
      </c>
    </row>
    <row r="8" spans="1:6" x14ac:dyDescent="0.25">
      <c r="A8" s="7" t="s">
        <v>36</v>
      </c>
      <c r="B8" s="7">
        <v>2287855368</v>
      </c>
      <c r="C8" s="7">
        <v>36552131442</v>
      </c>
      <c r="D8" s="7">
        <v>1178252189140.5</v>
      </c>
      <c r="E8" s="7">
        <v>1351494971171184.5</v>
      </c>
      <c r="F8" s="7">
        <v>2.5380221951556664E+16</v>
      </c>
    </row>
    <row r="9" spans="1:6" x14ac:dyDescent="0.25">
      <c r="A9" s="7"/>
      <c r="B9" s="7"/>
      <c r="C9" s="7"/>
      <c r="D9" s="7"/>
      <c r="E9" s="7"/>
      <c r="F9" s="7"/>
    </row>
    <row r="10" spans="1:6" ht="15.75" thickBot="1" x14ac:dyDescent="0.3">
      <c r="A10" s="8" t="s">
        <v>6</v>
      </c>
      <c r="B10" s="8"/>
      <c r="C10" s="8"/>
      <c r="D10" s="8"/>
      <c r="E10" s="8"/>
      <c r="F10" s="8"/>
    </row>
    <row r="11" spans="1:6" x14ac:dyDescent="0.25">
      <c r="A11" s="7" t="s">
        <v>34</v>
      </c>
      <c r="B11" s="7">
        <v>2</v>
      </c>
      <c r="C11" s="7">
        <v>2</v>
      </c>
      <c r="D11" s="7">
        <v>2</v>
      </c>
      <c r="E11" s="7">
        <v>2</v>
      </c>
      <c r="F11" s="7">
        <v>8</v>
      </c>
    </row>
    <row r="12" spans="1:6" x14ac:dyDescent="0.25">
      <c r="A12" s="7" t="s">
        <v>35</v>
      </c>
      <c r="B12" s="7">
        <v>2334590</v>
      </c>
      <c r="C12" s="7">
        <v>6287273</v>
      </c>
      <c r="D12" s="7">
        <v>44813848</v>
      </c>
      <c r="E12" s="7">
        <v>692955657</v>
      </c>
      <c r="F12" s="7">
        <v>746391368</v>
      </c>
    </row>
    <row r="13" spans="1:6" x14ac:dyDescent="0.25">
      <c r="A13" s="7" t="s">
        <v>17</v>
      </c>
      <c r="B13" s="7">
        <v>1167295</v>
      </c>
      <c r="C13" s="7">
        <v>3143636.5</v>
      </c>
      <c r="D13" s="7">
        <v>22406924</v>
      </c>
      <c r="E13" s="7">
        <v>346477828.5</v>
      </c>
      <c r="F13" s="7">
        <v>93298921</v>
      </c>
    </row>
    <row r="14" spans="1:6" x14ac:dyDescent="0.25">
      <c r="A14" s="7" t="s">
        <v>36</v>
      </c>
      <c r="B14" s="7">
        <v>947778722</v>
      </c>
      <c r="C14" s="7">
        <v>7137376764.5</v>
      </c>
      <c r="D14" s="7">
        <v>605193615488</v>
      </c>
      <c r="E14" s="7">
        <v>2654812741974688</v>
      </c>
      <c r="F14" s="7">
        <v>2.4876902652741204E+16</v>
      </c>
    </row>
    <row r="15" spans="1:6" x14ac:dyDescent="0.25">
      <c r="A15" s="7"/>
      <c r="B15" s="7"/>
      <c r="C15" s="7"/>
      <c r="D15" s="7"/>
      <c r="E15" s="7"/>
      <c r="F15" s="7"/>
    </row>
    <row r="16" spans="1:6" ht="15.75" thickBot="1" x14ac:dyDescent="0.3">
      <c r="A16" s="8" t="s">
        <v>7</v>
      </c>
      <c r="B16" s="8"/>
      <c r="C16" s="8"/>
      <c r="D16" s="8"/>
      <c r="E16" s="8"/>
      <c r="F16" s="8"/>
    </row>
    <row r="17" spans="1:6" x14ac:dyDescent="0.25">
      <c r="A17" s="7" t="s">
        <v>34</v>
      </c>
      <c r="B17" s="7">
        <v>2</v>
      </c>
      <c r="C17" s="7">
        <v>2</v>
      </c>
      <c r="D17" s="7">
        <v>2</v>
      </c>
      <c r="E17" s="7">
        <v>2</v>
      </c>
      <c r="F17" s="7">
        <v>8</v>
      </c>
    </row>
    <row r="18" spans="1:6" x14ac:dyDescent="0.25">
      <c r="A18" s="7" t="s">
        <v>35</v>
      </c>
      <c r="B18" s="7">
        <v>2310137</v>
      </c>
      <c r="C18" s="7">
        <v>7781666</v>
      </c>
      <c r="D18" s="7">
        <v>45783367</v>
      </c>
      <c r="E18" s="7">
        <v>744217527</v>
      </c>
      <c r="F18" s="7">
        <v>800092697</v>
      </c>
    </row>
    <row r="19" spans="1:6" x14ac:dyDescent="0.25">
      <c r="A19" s="7" t="s">
        <v>17</v>
      </c>
      <c r="B19" s="7">
        <v>1155068.5</v>
      </c>
      <c r="C19" s="7">
        <v>3890833</v>
      </c>
      <c r="D19" s="7">
        <v>22891683.5</v>
      </c>
      <c r="E19" s="7">
        <v>372108763.5</v>
      </c>
      <c r="F19" s="7">
        <v>100011587.125</v>
      </c>
    </row>
    <row r="20" spans="1:6" x14ac:dyDescent="0.25">
      <c r="A20" s="7" t="s">
        <v>36</v>
      </c>
      <c r="B20" s="7">
        <v>180.5</v>
      </c>
      <c r="C20" s="7">
        <v>8</v>
      </c>
      <c r="D20" s="7">
        <v>60.5</v>
      </c>
      <c r="E20" s="7">
        <v>364.5</v>
      </c>
      <c r="F20" s="7">
        <v>2.8284618164168896E+16</v>
      </c>
    </row>
    <row r="21" spans="1:6" x14ac:dyDescent="0.25">
      <c r="A21" s="7"/>
      <c r="B21" s="7"/>
      <c r="C21" s="7"/>
      <c r="D21" s="7"/>
      <c r="E21" s="7"/>
      <c r="F21" s="7"/>
    </row>
    <row r="22" spans="1:6" ht="15.75" thickBot="1" x14ac:dyDescent="0.3">
      <c r="A22" s="8" t="s">
        <v>8</v>
      </c>
      <c r="B22" s="8"/>
      <c r="C22" s="8"/>
      <c r="D22" s="8"/>
      <c r="E22" s="8"/>
      <c r="F22" s="8"/>
    </row>
    <row r="23" spans="1:6" x14ac:dyDescent="0.25">
      <c r="A23" s="7" t="s">
        <v>34</v>
      </c>
      <c r="B23" s="7">
        <v>2</v>
      </c>
      <c r="C23" s="7">
        <v>2</v>
      </c>
      <c r="D23" s="7">
        <v>2</v>
      </c>
      <c r="E23" s="7">
        <v>2</v>
      </c>
      <c r="F23" s="7">
        <v>8</v>
      </c>
    </row>
    <row r="24" spans="1:6" x14ac:dyDescent="0.25">
      <c r="A24" s="7" t="s">
        <v>35</v>
      </c>
      <c r="B24" s="7">
        <v>2636200</v>
      </c>
      <c r="C24" s="7">
        <v>6890180</v>
      </c>
      <c r="D24" s="7">
        <v>54622745</v>
      </c>
      <c r="E24" s="7">
        <v>863438166</v>
      </c>
      <c r="F24" s="7">
        <v>927587291</v>
      </c>
    </row>
    <row r="25" spans="1:6" x14ac:dyDescent="0.25">
      <c r="A25" s="7" t="s">
        <v>17</v>
      </c>
      <c r="B25" s="7">
        <v>1318100</v>
      </c>
      <c r="C25" s="7">
        <v>3445090</v>
      </c>
      <c r="D25" s="7">
        <v>27311372.5</v>
      </c>
      <c r="E25" s="7">
        <v>431719083</v>
      </c>
      <c r="F25" s="7">
        <v>115948411.375</v>
      </c>
    </row>
    <row r="26" spans="1:6" x14ac:dyDescent="0.25">
      <c r="A26" s="7" t="s">
        <v>36</v>
      </c>
      <c r="B26" s="7">
        <v>11627515008</v>
      </c>
      <c r="C26" s="7">
        <v>35628481800</v>
      </c>
      <c r="D26" s="7">
        <v>1469304246084.5</v>
      </c>
      <c r="E26" s="7">
        <v>6481936944722</v>
      </c>
      <c r="F26" s="7">
        <v>3.810535616398904E+16</v>
      </c>
    </row>
    <row r="27" spans="1:6" x14ac:dyDescent="0.25">
      <c r="A27" s="7"/>
      <c r="B27" s="7"/>
      <c r="C27" s="7"/>
      <c r="D27" s="7"/>
      <c r="E27" s="7"/>
      <c r="F27" s="7"/>
    </row>
    <row r="28" spans="1:6" ht="15.75" thickBot="1" x14ac:dyDescent="0.3">
      <c r="A28" s="8" t="s">
        <v>9</v>
      </c>
      <c r="B28" s="8"/>
      <c r="C28" s="8"/>
      <c r="D28" s="8"/>
      <c r="E28" s="8"/>
      <c r="F28" s="8"/>
    </row>
    <row r="29" spans="1:6" x14ac:dyDescent="0.25">
      <c r="A29" s="7" t="s">
        <v>34</v>
      </c>
      <c r="B29" s="7">
        <v>2</v>
      </c>
      <c r="C29" s="7">
        <v>2</v>
      </c>
      <c r="D29" s="7">
        <v>2</v>
      </c>
      <c r="E29" s="7">
        <v>2</v>
      </c>
      <c r="F29" s="7">
        <v>8</v>
      </c>
    </row>
    <row r="30" spans="1:6" x14ac:dyDescent="0.25">
      <c r="A30" s="7" t="s">
        <v>35</v>
      </c>
      <c r="B30" s="7">
        <v>2477489</v>
      </c>
      <c r="C30" s="7">
        <v>6572269</v>
      </c>
      <c r="D30" s="7">
        <v>49070532</v>
      </c>
      <c r="E30" s="7">
        <v>819156977</v>
      </c>
      <c r="F30" s="7">
        <v>877277267</v>
      </c>
    </row>
    <row r="31" spans="1:6" x14ac:dyDescent="0.25">
      <c r="A31" s="7" t="s">
        <v>17</v>
      </c>
      <c r="B31" s="7">
        <v>1238744.5</v>
      </c>
      <c r="C31" s="7">
        <v>3286134.5</v>
      </c>
      <c r="D31" s="7">
        <v>24535266</v>
      </c>
      <c r="E31" s="7">
        <v>409578488.5</v>
      </c>
      <c r="F31" s="7">
        <v>109659658.375</v>
      </c>
    </row>
    <row r="32" spans="1:6" x14ac:dyDescent="0.25">
      <c r="A32" s="7" t="s">
        <v>36</v>
      </c>
      <c r="B32" s="7">
        <v>215841864.5</v>
      </c>
      <c r="C32" s="7">
        <v>6243472512.5</v>
      </c>
      <c r="D32" s="7">
        <v>372570931328</v>
      </c>
      <c r="E32" s="7">
        <v>284855152323012.5</v>
      </c>
      <c r="F32" s="7">
        <v>3.4403001451177512E+16</v>
      </c>
    </row>
    <row r="33" spans="1:6" x14ac:dyDescent="0.25">
      <c r="A33" s="7"/>
      <c r="B33" s="7"/>
      <c r="C33" s="7"/>
      <c r="D33" s="7"/>
      <c r="E33" s="7"/>
      <c r="F33" s="7"/>
    </row>
    <row r="34" spans="1:6" ht="15.75" thickBot="1" x14ac:dyDescent="0.3">
      <c r="A34" s="8" t="s">
        <v>10</v>
      </c>
      <c r="B34" s="8"/>
      <c r="C34" s="8"/>
      <c r="D34" s="8"/>
      <c r="E34" s="8"/>
      <c r="F34" s="8"/>
    </row>
    <row r="35" spans="1:6" x14ac:dyDescent="0.25">
      <c r="A35" s="7" t="s">
        <v>34</v>
      </c>
      <c r="B35" s="7">
        <v>2</v>
      </c>
      <c r="C35" s="7">
        <v>2</v>
      </c>
      <c r="D35" s="7">
        <v>2</v>
      </c>
      <c r="E35" s="7">
        <v>2</v>
      </c>
      <c r="F35" s="7">
        <v>8</v>
      </c>
    </row>
    <row r="36" spans="1:6" x14ac:dyDescent="0.25">
      <c r="A36" s="7" t="s">
        <v>35</v>
      </c>
      <c r="B36" s="7">
        <v>2606489</v>
      </c>
      <c r="C36" s="7">
        <v>7081429</v>
      </c>
      <c r="D36" s="7">
        <v>52825173</v>
      </c>
      <c r="E36" s="7">
        <v>840435476</v>
      </c>
      <c r="F36" s="7">
        <v>902948567</v>
      </c>
    </row>
    <row r="37" spans="1:6" x14ac:dyDescent="0.25">
      <c r="A37" s="7" t="s">
        <v>17</v>
      </c>
      <c r="B37" s="7">
        <v>1303244.5</v>
      </c>
      <c r="C37" s="7">
        <v>3540714.5</v>
      </c>
      <c r="D37" s="7">
        <v>26412586.5</v>
      </c>
      <c r="E37" s="7">
        <v>420217738</v>
      </c>
      <c r="F37" s="7">
        <v>112868570.875</v>
      </c>
    </row>
    <row r="38" spans="1:6" x14ac:dyDescent="0.25">
      <c r="A38" s="7" t="s">
        <v>36</v>
      </c>
      <c r="B38" s="7">
        <v>1738553544.5</v>
      </c>
      <c r="C38" s="7">
        <v>102021413760.5</v>
      </c>
      <c r="D38" s="7">
        <v>2588561029120.5</v>
      </c>
      <c r="E38" s="7">
        <v>8813747120996800</v>
      </c>
      <c r="F38" s="7">
        <v>3.7355934204683128E+16</v>
      </c>
    </row>
    <row r="39" spans="1:6" x14ac:dyDescent="0.25">
      <c r="A39" s="7"/>
      <c r="B39" s="7"/>
      <c r="C39" s="7"/>
      <c r="D39" s="7"/>
      <c r="E39" s="7"/>
      <c r="F39" s="7"/>
    </row>
    <row r="40" spans="1:6" ht="15.75" thickBot="1" x14ac:dyDescent="0.3">
      <c r="A40" s="8" t="s">
        <v>11</v>
      </c>
      <c r="B40" s="8"/>
      <c r="C40" s="8"/>
      <c r="D40" s="8"/>
      <c r="E40" s="8"/>
      <c r="F40" s="8"/>
    </row>
    <row r="41" spans="1:6" x14ac:dyDescent="0.25">
      <c r="A41" s="7" t="s">
        <v>34</v>
      </c>
      <c r="B41" s="7">
        <v>2</v>
      </c>
      <c r="C41" s="7">
        <v>2</v>
      </c>
      <c r="D41" s="7">
        <v>2</v>
      </c>
      <c r="E41" s="7">
        <v>2</v>
      </c>
      <c r="F41" s="7">
        <v>8</v>
      </c>
    </row>
    <row r="42" spans="1:6" x14ac:dyDescent="0.25">
      <c r="A42" s="7" t="s">
        <v>35</v>
      </c>
      <c r="B42" s="7">
        <v>2536166</v>
      </c>
      <c r="C42" s="7">
        <v>6991993</v>
      </c>
      <c r="D42" s="7">
        <v>51322719</v>
      </c>
      <c r="E42" s="7">
        <v>849365849</v>
      </c>
      <c r="F42" s="7">
        <v>910216727</v>
      </c>
    </row>
    <row r="43" spans="1:6" x14ac:dyDescent="0.25">
      <c r="A43" s="7" t="s">
        <v>17</v>
      </c>
      <c r="B43" s="7">
        <v>1268083</v>
      </c>
      <c r="C43" s="7">
        <v>3495996.5</v>
      </c>
      <c r="D43" s="7">
        <v>25661359.5</v>
      </c>
      <c r="E43" s="7">
        <v>424682924.5</v>
      </c>
      <c r="F43" s="7">
        <v>113777090.875</v>
      </c>
    </row>
    <row r="44" spans="1:6" x14ac:dyDescent="0.25">
      <c r="A44" s="7" t="s">
        <v>36</v>
      </c>
      <c r="B44" s="7">
        <v>122617800</v>
      </c>
      <c r="C44" s="7">
        <v>2274009360.5</v>
      </c>
      <c r="D44" s="7">
        <v>196528762624.5</v>
      </c>
      <c r="E44" s="7">
        <v>14758586943420.5</v>
      </c>
      <c r="F44" s="7">
        <v>3.6929855681010968E+16</v>
      </c>
    </row>
    <row r="45" spans="1:6" x14ac:dyDescent="0.25">
      <c r="A45" s="7"/>
      <c r="B45" s="7"/>
      <c r="C45" s="7"/>
      <c r="D45" s="7"/>
      <c r="E45" s="7"/>
      <c r="F45" s="7"/>
    </row>
    <row r="46" spans="1:6" ht="15.75" thickBot="1" x14ac:dyDescent="0.3">
      <c r="A46" s="8" t="s">
        <v>12</v>
      </c>
      <c r="B46" s="8"/>
      <c r="C46" s="8"/>
      <c r="D46" s="8"/>
      <c r="E46" s="8"/>
      <c r="F46" s="8"/>
    </row>
    <row r="47" spans="1:6" x14ac:dyDescent="0.25">
      <c r="A47" s="7" t="s">
        <v>34</v>
      </c>
      <c r="B47" s="7">
        <v>2</v>
      </c>
      <c r="C47" s="7">
        <v>2</v>
      </c>
      <c r="D47" s="7">
        <v>2</v>
      </c>
      <c r="E47" s="7">
        <v>2</v>
      </c>
      <c r="F47" s="7">
        <v>8</v>
      </c>
    </row>
    <row r="48" spans="1:6" x14ac:dyDescent="0.25">
      <c r="A48" s="7" t="s">
        <v>35</v>
      </c>
      <c r="B48" s="7">
        <v>2508718</v>
      </c>
      <c r="C48" s="7">
        <v>6391446</v>
      </c>
      <c r="D48" s="7">
        <v>51090148</v>
      </c>
      <c r="E48" s="7">
        <v>827578378</v>
      </c>
      <c r="F48" s="7">
        <v>887568690</v>
      </c>
    </row>
    <row r="49" spans="1:10" x14ac:dyDescent="0.25">
      <c r="A49" s="7" t="s">
        <v>17</v>
      </c>
      <c r="B49" s="7">
        <v>1254359</v>
      </c>
      <c r="C49" s="7">
        <v>3195723</v>
      </c>
      <c r="D49" s="7">
        <v>25545074</v>
      </c>
      <c r="E49" s="7">
        <v>413789189</v>
      </c>
      <c r="F49" s="7">
        <v>110946086.25</v>
      </c>
    </row>
    <row r="50" spans="1:10" x14ac:dyDescent="0.25">
      <c r="A50" s="7" t="s">
        <v>36</v>
      </c>
      <c r="B50" s="7">
        <v>1552247762</v>
      </c>
      <c r="C50" s="7">
        <v>51186962</v>
      </c>
      <c r="D50" s="7">
        <v>1228045382432</v>
      </c>
      <c r="E50" s="7">
        <v>589514303782098</v>
      </c>
      <c r="F50" s="7">
        <v>3.512716158870476E+16</v>
      </c>
    </row>
    <row r="51" spans="1:10" x14ac:dyDescent="0.25">
      <c r="A51" s="7"/>
      <c r="B51" s="7"/>
      <c r="C51" s="7"/>
      <c r="D51" s="7"/>
      <c r="E51" s="7"/>
      <c r="F51" s="7"/>
    </row>
    <row r="52" spans="1:10" ht="15.75" thickBot="1" x14ac:dyDescent="0.3">
      <c r="A52" s="8" t="s">
        <v>33</v>
      </c>
      <c r="B52" s="8"/>
      <c r="C52" s="8"/>
      <c r="D52" s="8"/>
      <c r="E52" s="8"/>
      <c r="F52" s="8"/>
      <c r="G52" s="8"/>
      <c r="H52" s="8"/>
      <c r="I52" s="8"/>
      <c r="J52" s="8"/>
    </row>
    <row r="53" spans="1:10" x14ac:dyDescent="0.25">
      <c r="A53" s="7" t="s">
        <v>34</v>
      </c>
      <c r="B53" s="7">
        <v>16</v>
      </c>
      <c r="C53" s="7">
        <v>16</v>
      </c>
      <c r="D53" s="7">
        <v>16</v>
      </c>
      <c r="E53" s="7">
        <v>16</v>
      </c>
      <c r="F53" s="7"/>
      <c r="G53" s="7"/>
      <c r="H53" s="7"/>
      <c r="I53" s="7"/>
      <c r="J53" s="7"/>
    </row>
    <row r="54" spans="1:10" x14ac:dyDescent="0.25">
      <c r="A54" s="7" t="s">
        <v>35</v>
      </c>
      <c r="B54" s="7">
        <v>19762237</v>
      </c>
      <c r="C54" s="7">
        <v>54559442</v>
      </c>
      <c r="D54" s="7">
        <v>393189941</v>
      </c>
      <c r="E54" s="7">
        <v>6339348041</v>
      </c>
      <c r="F54" s="7"/>
      <c r="G54" s="7"/>
      <c r="H54" s="7"/>
      <c r="I54" s="7"/>
      <c r="J54" s="7"/>
    </row>
    <row r="55" spans="1:10" x14ac:dyDescent="0.25">
      <c r="A55" s="7" t="s">
        <v>17</v>
      </c>
      <c r="B55" s="7">
        <v>1235139.8125</v>
      </c>
      <c r="C55" s="7">
        <v>3409965.125</v>
      </c>
      <c r="D55" s="7">
        <v>24574371.3125</v>
      </c>
      <c r="E55" s="7">
        <v>396209252.5625</v>
      </c>
      <c r="F55" s="7"/>
      <c r="G55" s="7"/>
      <c r="H55" s="7"/>
      <c r="I55" s="7"/>
      <c r="J55" s="7"/>
    </row>
    <row r="56" spans="1:10" x14ac:dyDescent="0.25">
      <c r="A56" s="7" t="s">
        <v>36</v>
      </c>
      <c r="B56" s="7">
        <v>4895983662.4291668</v>
      </c>
      <c r="C56" s="7">
        <v>66741673824.916664</v>
      </c>
      <c r="D56" s="7">
        <v>4249566481551.2939</v>
      </c>
      <c r="E56" s="7">
        <v>2011016099860821.3</v>
      </c>
      <c r="F56" s="7"/>
      <c r="G56" s="7"/>
      <c r="H56" s="7"/>
      <c r="I56" s="7"/>
      <c r="J56" s="7"/>
    </row>
    <row r="57" spans="1:10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</row>
    <row r="59" spans="1:10" ht="15.75" thickBot="1" x14ac:dyDescent="0.3">
      <c r="A59" t="s">
        <v>37</v>
      </c>
    </row>
    <row r="60" spans="1:10" x14ac:dyDescent="0.25">
      <c r="A60" s="10" t="s">
        <v>38</v>
      </c>
      <c r="B60" s="10" t="s">
        <v>39</v>
      </c>
      <c r="C60" s="10" t="s">
        <v>40</v>
      </c>
      <c r="D60" s="10" t="s">
        <v>41</v>
      </c>
      <c r="E60" s="10" t="s">
        <v>42</v>
      </c>
      <c r="F60" s="10" t="s">
        <v>43</v>
      </c>
      <c r="G60" s="10" t="s">
        <v>44</v>
      </c>
    </row>
    <row r="61" spans="1:10" x14ac:dyDescent="0.25">
      <c r="A61" s="7" t="s">
        <v>45</v>
      </c>
      <c r="B61" s="7">
        <v>4611482942488576</v>
      </c>
      <c r="C61" s="7">
        <v>7</v>
      </c>
      <c r="D61" s="7">
        <v>658783277498368</v>
      </c>
      <c r="E61" s="7">
        <v>1.5361275878710097</v>
      </c>
      <c r="F61" s="7">
        <v>0.1907684552350204</v>
      </c>
      <c r="G61" s="7">
        <v>2.3127411866337537</v>
      </c>
    </row>
    <row r="62" spans="1:10" x14ac:dyDescent="0.25">
      <c r="A62" s="7" t="s">
        <v>46</v>
      </c>
      <c r="B62" s="7">
        <v>1.7976227863887165E+18</v>
      </c>
      <c r="C62" s="7">
        <v>3</v>
      </c>
      <c r="D62" s="7">
        <v>5.9920759546290547E+17</v>
      </c>
      <c r="E62" s="7">
        <v>1397.2111158433297</v>
      </c>
      <c r="F62" s="7">
        <v>5.4244155257300244E-34</v>
      </c>
      <c r="G62" s="7">
        <v>2.9011195838408388</v>
      </c>
    </row>
    <row r="63" spans="1:10" x14ac:dyDescent="0.25">
      <c r="A63" s="7" t="s">
        <v>47</v>
      </c>
      <c r="B63" s="7">
        <v>1.1895064946733266E+16</v>
      </c>
      <c r="C63" s="7">
        <v>21</v>
      </c>
      <c r="D63" s="7">
        <v>566431664130155.5</v>
      </c>
      <c r="E63" s="7">
        <v>1.3207853563286194</v>
      </c>
      <c r="F63" s="7">
        <v>0.2335884046563792</v>
      </c>
      <c r="G63" s="7">
        <v>1.8957059619525327</v>
      </c>
    </row>
    <row r="64" spans="1:10" x14ac:dyDescent="0.25">
      <c r="A64" s="7" t="s">
        <v>48</v>
      </c>
      <c r="B64" s="7">
        <v>1.3723511670775342E+16</v>
      </c>
      <c r="C64" s="7">
        <v>32</v>
      </c>
      <c r="D64" s="7">
        <v>428859739711729.44</v>
      </c>
      <c r="E64" s="7"/>
      <c r="F64" s="7"/>
      <c r="G64" s="7"/>
    </row>
    <row r="65" spans="1:7" x14ac:dyDescent="0.25">
      <c r="A65" s="7"/>
      <c r="B65" s="7"/>
      <c r="C65" s="7"/>
      <c r="D65" s="7"/>
      <c r="E65" s="7"/>
      <c r="F65" s="7"/>
      <c r="G65" s="7"/>
    </row>
    <row r="66" spans="1:7" ht="15.75" thickBot="1" x14ac:dyDescent="0.3">
      <c r="A66" s="9" t="s">
        <v>33</v>
      </c>
      <c r="B66" s="9">
        <v>1.8278528459487137E+18</v>
      </c>
      <c r="C66" s="9">
        <v>63</v>
      </c>
      <c r="D66" s="9"/>
      <c r="E66" s="9"/>
      <c r="F66" s="9"/>
      <c r="G6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  <vt:lpstr>ANOVA - AoI</vt:lpstr>
      <vt:lpstr>ANOVA - Energy</vt:lpstr>
      <vt:lpstr>ANOVA - Makespan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</cp:lastModifiedBy>
  <cp:revision>4</cp:revision>
  <dcterms:created xsi:type="dcterms:W3CDTF">2015-06-05T18:17:20Z</dcterms:created>
  <dcterms:modified xsi:type="dcterms:W3CDTF">2025-10-17T10:17:09Z</dcterms:modified>
  <dc:language>en-US</dc:language>
</cp:coreProperties>
</file>